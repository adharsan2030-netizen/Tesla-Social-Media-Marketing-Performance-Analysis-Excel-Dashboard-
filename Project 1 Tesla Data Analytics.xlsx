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xr:revisionPtr revIDLastSave="0" documentId="8_{23096D6C-734C-47CB-A062-A17424F216C5}" xr6:coauthVersionLast="47" xr6:coauthVersionMax="47" xr10:uidLastSave="{00000000-0000-0000-0000-000000000000}"/>
  <bookViews>
    <workbookView xWindow="-120" yWindow="-120" windowWidth="20730" windowHeight="11040" tabRatio="701" activeTab="14" xr2:uid="{BD7C58F4-582A-410E-B590-5410AAF9D7DF}"/>
  </bookViews>
  <sheets>
    <sheet name="Posts" sheetId="4" r:id="rId1"/>
    <sheet name="Campaign Metadata" sheetId="6" r:id="rId2"/>
    <sheet name="Engagement Summary" sheetId="5" r:id="rId3"/>
    <sheet name="Task 1A" sheetId="1" r:id="rId4"/>
    <sheet name="Task 1B" sheetId="2" r:id="rId5"/>
    <sheet name="Hashtag Split in Rows" sheetId="11" r:id="rId6"/>
    <sheet name="Task 2A" sheetId="3" r:id="rId7"/>
    <sheet name="Task 2B" sheetId="9" r:id="rId8"/>
    <sheet name="Task 2 Data" sheetId="21" r:id="rId9"/>
    <sheet name="Task 3" sheetId="16" r:id="rId10"/>
    <sheet name="Task 4" sheetId="17" r:id="rId11"/>
    <sheet name="Task 5" sheetId="25" r:id="rId12"/>
    <sheet name="Task 6 Data" sheetId="34" r:id="rId13"/>
    <sheet name="Task 6" sheetId="29" r:id="rId14"/>
    <sheet name="Task 7" sheetId="35" r:id="rId15"/>
  </sheets>
  <definedNames>
    <definedName name="_xlnm._FilterDatabase" localSheetId="9" hidden="1">'Task 3'!$A$1:$G$301</definedName>
    <definedName name="_xlnm._FilterDatabase" localSheetId="10" hidden="1">'Task 4'!$A$13:$G$19</definedName>
    <definedName name="ExternalData_1" localSheetId="8" hidden="1">'Task 2 Data'!$A$1:$M$340</definedName>
  </definedNames>
  <calcPr calcId="191029"/>
  <pivotCaches>
    <pivotCache cacheId="0" r:id="rId16"/>
    <pivotCache cacheId="1" r:id="rId17"/>
    <pivotCache cacheId="2" r:id="rId18"/>
    <pivotCache cacheId="3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5" l="1"/>
  <c r="C21" i="25"/>
  <c r="B23" i="25"/>
  <c r="B22" i="25"/>
  <c r="B21" i="25"/>
  <c r="E2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61" i="34"/>
  <c r="E62" i="34"/>
  <c r="E63" i="34"/>
  <c r="E64" i="34"/>
  <c r="E65" i="34"/>
  <c r="E66" i="34"/>
  <c r="E67" i="34"/>
  <c r="E68" i="34"/>
  <c r="E69" i="34"/>
  <c r="E70" i="34"/>
  <c r="E71" i="34"/>
  <c r="E72" i="34"/>
  <c r="E73" i="34"/>
  <c r="E74" i="34"/>
  <c r="E75" i="34"/>
  <c r="E76" i="34"/>
  <c r="E77" i="34"/>
  <c r="E78" i="34"/>
  <c r="E79" i="34"/>
  <c r="E80" i="34"/>
  <c r="E81" i="34"/>
  <c r="E82" i="34"/>
  <c r="E83" i="34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6" i="34"/>
  <c r="E117" i="34"/>
  <c r="E118" i="34"/>
  <c r="E119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33" i="34"/>
  <c r="E134" i="34"/>
  <c r="E135" i="34"/>
  <c r="E136" i="34"/>
  <c r="E137" i="34"/>
  <c r="E138" i="34"/>
  <c r="E139" i="34"/>
  <c r="E140" i="34"/>
  <c r="E141" i="34"/>
  <c r="E142" i="34"/>
  <c r="E143" i="34"/>
  <c r="E144" i="34"/>
  <c r="E145" i="34"/>
  <c r="E146" i="34"/>
  <c r="E147" i="34"/>
  <c r="E148" i="34"/>
  <c r="E149" i="34"/>
  <c r="E150" i="34"/>
  <c r="E151" i="34"/>
  <c r="E152" i="34"/>
  <c r="E153" i="34"/>
  <c r="E154" i="34"/>
  <c r="E155" i="34"/>
  <c r="E156" i="34"/>
  <c r="E157" i="34"/>
  <c r="E158" i="34"/>
  <c r="E159" i="34"/>
  <c r="E160" i="34"/>
  <c r="E161" i="34"/>
  <c r="E162" i="34"/>
  <c r="E163" i="34"/>
  <c r="E164" i="34"/>
  <c r="E165" i="34"/>
  <c r="E166" i="34"/>
  <c r="E167" i="34"/>
  <c r="E168" i="34"/>
  <c r="E169" i="34"/>
  <c r="E170" i="34"/>
  <c r="E171" i="34"/>
  <c r="E172" i="34"/>
  <c r="E173" i="34"/>
  <c r="E174" i="34"/>
  <c r="E175" i="34"/>
  <c r="E176" i="34"/>
  <c r="E177" i="34"/>
  <c r="E178" i="34"/>
  <c r="E179" i="34"/>
  <c r="E180" i="34"/>
  <c r="E181" i="34"/>
  <c r="E182" i="34"/>
  <c r="E183" i="34"/>
  <c r="E184" i="34"/>
  <c r="E185" i="34"/>
  <c r="E186" i="34"/>
  <c r="E187" i="34"/>
  <c r="E188" i="34"/>
  <c r="E189" i="34"/>
  <c r="E190" i="34"/>
  <c r="E191" i="34"/>
  <c r="E192" i="34"/>
  <c r="E193" i="34"/>
  <c r="E194" i="34"/>
  <c r="E195" i="34"/>
  <c r="E196" i="34"/>
  <c r="E197" i="34"/>
  <c r="E198" i="34"/>
  <c r="E199" i="34"/>
  <c r="E200" i="34"/>
  <c r="E201" i="34"/>
  <c r="C21" i="29" a="1"/>
  <c r="C21" i="29" s="1"/>
  <c r="B21" i="29" a="1"/>
  <c r="B21" i="29" s="1"/>
  <c r="A21" i="29" a="1"/>
  <c r="I3" i="34"/>
  <c r="I4" i="34"/>
  <c r="I5" i="34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51" i="34"/>
  <c r="I52" i="34"/>
  <c r="I53" i="34"/>
  <c r="I54" i="34"/>
  <c r="I55" i="34"/>
  <c r="I56" i="34"/>
  <c r="I57" i="34"/>
  <c r="I58" i="34"/>
  <c r="I59" i="34"/>
  <c r="I60" i="34"/>
  <c r="I61" i="34"/>
  <c r="I62" i="34"/>
  <c r="I63" i="34"/>
  <c r="I64" i="34"/>
  <c r="I65" i="34"/>
  <c r="I66" i="34"/>
  <c r="I67" i="34"/>
  <c r="I68" i="34"/>
  <c r="I69" i="34"/>
  <c r="I70" i="34"/>
  <c r="I71" i="34"/>
  <c r="I72" i="34"/>
  <c r="I73" i="34"/>
  <c r="I74" i="34"/>
  <c r="I75" i="34"/>
  <c r="I76" i="34"/>
  <c r="I77" i="34"/>
  <c r="I78" i="34"/>
  <c r="I79" i="34"/>
  <c r="I80" i="34"/>
  <c r="I81" i="34"/>
  <c r="I82" i="34"/>
  <c r="I83" i="34"/>
  <c r="I84" i="34"/>
  <c r="I85" i="34"/>
  <c r="I86" i="34"/>
  <c r="I87" i="34"/>
  <c r="I88" i="34"/>
  <c r="I89" i="34"/>
  <c r="I90" i="34"/>
  <c r="I91" i="34"/>
  <c r="I92" i="34"/>
  <c r="I93" i="34"/>
  <c r="I94" i="34"/>
  <c r="I95" i="34"/>
  <c r="I96" i="34"/>
  <c r="I97" i="34"/>
  <c r="I98" i="34"/>
  <c r="I99" i="34"/>
  <c r="I100" i="34"/>
  <c r="I101" i="34"/>
  <c r="I102" i="34"/>
  <c r="I103" i="34"/>
  <c r="I104" i="34"/>
  <c r="I105" i="34"/>
  <c r="I106" i="34"/>
  <c r="I107" i="34"/>
  <c r="I108" i="34"/>
  <c r="I109" i="34"/>
  <c r="I110" i="34"/>
  <c r="I111" i="34"/>
  <c r="I112" i="34"/>
  <c r="I113" i="34"/>
  <c r="I114" i="34"/>
  <c r="I115" i="34"/>
  <c r="I116" i="34"/>
  <c r="I117" i="34"/>
  <c r="I118" i="34"/>
  <c r="I119" i="34"/>
  <c r="I120" i="34"/>
  <c r="I121" i="34"/>
  <c r="I122" i="34"/>
  <c r="I123" i="34"/>
  <c r="I124" i="34"/>
  <c r="I125" i="34"/>
  <c r="I126" i="34"/>
  <c r="I127" i="34"/>
  <c r="I128" i="34"/>
  <c r="I129" i="34"/>
  <c r="I130" i="34"/>
  <c r="I131" i="34"/>
  <c r="I132" i="34"/>
  <c r="I133" i="34"/>
  <c r="I134" i="34"/>
  <c r="I135" i="34"/>
  <c r="I136" i="34"/>
  <c r="I137" i="34"/>
  <c r="I138" i="34"/>
  <c r="I139" i="34"/>
  <c r="I140" i="34"/>
  <c r="I141" i="34"/>
  <c r="I142" i="34"/>
  <c r="I143" i="34"/>
  <c r="I144" i="34"/>
  <c r="I145" i="34"/>
  <c r="I146" i="34"/>
  <c r="I147" i="34"/>
  <c r="I148" i="34"/>
  <c r="I149" i="34"/>
  <c r="I150" i="34"/>
  <c r="I151" i="34"/>
  <c r="I152" i="34"/>
  <c r="I153" i="34"/>
  <c r="I154" i="34"/>
  <c r="I155" i="34"/>
  <c r="I156" i="34"/>
  <c r="I157" i="34"/>
  <c r="I158" i="34"/>
  <c r="I159" i="34"/>
  <c r="I160" i="34"/>
  <c r="I161" i="34"/>
  <c r="I162" i="34"/>
  <c r="I163" i="34"/>
  <c r="I164" i="34"/>
  <c r="I165" i="34"/>
  <c r="I166" i="34"/>
  <c r="I167" i="34"/>
  <c r="I168" i="34"/>
  <c r="I169" i="34"/>
  <c r="I170" i="34"/>
  <c r="I171" i="34"/>
  <c r="I172" i="34"/>
  <c r="I173" i="34"/>
  <c r="I174" i="34"/>
  <c r="I175" i="34"/>
  <c r="I176" i="34"/>
  <c r="I177" i="34"/>
  <c r="I178" i="34"/>
  <c r="I179" i="34"/>
  <c r="I180" i="34"/>
  <c r="I181" i="34"/>
  <c r="I182" i="34"/>
  <c r="I183" i="34"/>
  <c r="I184" i="34"/>
  <c r="I185" i="34"/>
  <c r="I186" i="34"/>
  <c r="I187" i="34"/>
  <c r="I188" i="34"/>
  <c r="I189" i="34"/>
  <c r="I190" i="34"/>
  <c r="I191" i="34"/>
  <c r="I192" i="34"/>
  <c r="I193" i="34"/>
  <c r="I194" i="34"/>
  <c r="I195" i="34"/>
  <c r="I196" i="34"/>
  <c r="I197" i="34"/>
  <c r="I198" i="34"/>
  <c r="I199" i="34"/>
  <c r="I200" i="34"/>
  <c r="I201" i="34"/>
  <c r="I2" i="34"/>
  <c r="C5" i="29"/>
  <c r="C6" i="29"/>
  <c r="C7" i="29"/>
  <c r="C4" i="29"/>
  <c r="B5" i="29" a="1"/>
  <c r="B5" i="29" s="1"/>
  <c r="B6" i="29" a="1"/>
  <c r="B6" i="29" s="1"/>
  <c r="B7" i="29" a="1"/>
  <c r="B7" i="29" s="1"/>
  <c r="B4" i="29" a="1"/>
  <c r="B4" i="29" s="1"/>
  <c r="F12" i="25"/>
  <c r="F13" i="25"/>
  <c r="F14" i="25"/>
  <c r="F11" i="2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2" i="4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2" i="11"/>
  <c r="G11" i="25"/>
  <c r="E12" i="25"/>
  <c r="E13" i="25"/>
  <c r="E14" i="25"/>
  <c r="E11" i="25"/>
  <c r="D11" i="25"/>
  <c r="D12" i="25"/>
  <c r="D13" i="25"/>
  <c r="D14" i="25"/>
  <c r="G12" i="25"/>
  <c r="H12" i="25" s="1"/>
  <c r="I12" i="25" s="1"/>
  <c r="G13" i="25"/>
  <c r="H13" i="25" s="1"/>
  <c r="I13" i="25" s="1"/>
  <c r="G14" i="25"/>
  <c r="I5" i="25"/>
  <c r="I6" i="25"/>
  <c r="I7" i="25"/>
  <c r="H5" i="25"/>
  <c r="H6" i="25"/>
  <c r="H7" i="25"/>
  <c r="G5" i="25"/>
  <c r="G6" i="25"/>
  <c r="G7" i="25"/>
  <c r="F5" i="25"/>
  <c r="F6" i="25"/>
  <c r="F7" i="25"/>
  <c r="J5" i="25"/>
  <c r="J6" i="25"/>
  <c r="J7" i="25"/>
  <c r="J4" i="25"/>
  <c r="I4" i="25"/>
  <c r="H4" i="25"/>
  <c r="G4" i="25"/>
  <c r="F4" i="25"/>
  <c r="E6" i="25"/>
  <c r="E7" i="25"/>
  <c r="E5" i="25"/>
  <c r="E4" i="25"/>
  <c r="D5" i="25"/>
  <c r="K5" i="25" s="1"/>
  <c r="D6" i="25"/>
  <c r="K6" i="25" s="1"/>
  <c r="D7" i="25"/>
  <c r="K7" i="25" s="1"/>
  <c r="D4" i="25"/>
  <c r="K4" i="25" s="1"/>
  <c r="B5" i="25"/>
  <c r="B6" i="25"/>
  <c r="B7" i="25"/>
  <c r="B4" i="25"/>
  <c r="G15" i="17"/>
  <c r="G16" i="17"/>
  <c r="G17" i="17"/>
  <c r="G18" i="17"/>
  <c r="G19" i="17"/>
  <c r="G14" i="17"/>
  <c r="G6" i="17"/>
  <c r="G7" i="17"/>
  <c r="G8" i="17"/>
  <c r="G9" i="17"/>
  <c r="G10" i="17"/>
  <c r="G5" i="17"/>
  <c r="N3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N116" i="21"/>
  <c r="N117" i="21"/>
  <c r="N118" i="21"/>
  <c r="N119" i="21"/>
  <c r="N120" i="21"/>
  <c r="N121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N135" i="21"/>
  <c r="N136" i="21"/>
  <c r="N137" i="21"/>
  <c r="N138" i="21"/>
  <c r="N139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N154" i="21"/>
  <c r="N155" i="21"/>
  <c r="N156" i="21"/>
  <c r="N157" i="21"/>
  <c r="N158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N173" i="21"/>
  <c r="N174" i="21"/>
  <c r="N175" i="21"/>
  <c r="N176" i="21"/>
  <c r="N177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N192" i="21"/>
  <c r="N193" i="21"/>
  <c r="N194" i="21"/>
  <c r="N195" i="21"/>
  <c r="N196" i="21"/>
  <c r="N197" i="21"/>
  <c r="N198" i="21"/>
  <c r="N199" i="21"/>
  <c r="N200" i="21"/>
  <c r="N201" i="21"/>
  <c r="N202" i="21"/>
  <c r="N203" i="21"/>
  <c r="N204" i="21"/>
  <c r="N205" i="21"/>
  <c r="N206" i="21"/>
  <c r="N207" i="21"/>
  <c r="N208" i="21"/>
  <c r="N209" i="21"/>
  <c r="N210" i="21"/>
  <c r="N211" i="21"/>
  <c r="N212" i="21"/>
  <c r="N213" i="21"/>
  <c r="N214" i="21"/>
  <c r="N215" i="21"/>
  <c r="N216" i="21"/>
  <c r="N217" i="21"/>
  <c r="N218" i="21"/>
  <c r="N219" i="21"/>
  <c r="N220" i="21"/>
  <c r="N221" i="21"/>
  <c r="N222" i="21"/>
  <c r="N223" i="21"/>
  <c r="N224" i="21"/>
  <c r="N225" i="21"/>
  <c r="N226" i="21"/>
  <c r="N227" i="21"/>
  <c r="N228" i="21"/>
  <c r="N229" i="21"/>
  <c r="N230" i="21"/>
  <c r="N231" i="21"/>
  <c r="N232" i="21"/>
  <c r="N233" i="21"/>
  <c r="N234" i="21"/>
  <c r="N235" i="21"/>
  <c r="N236" i="21"/>
  <c r="N237" i="21"/>
  <c r="N238" i="21"/>
  <c r="N239" i="21"/>
  <c r="N240" i="21"/>
  <c r="N241" i="21"/>
  <c r="N242" i="21"/>
  <c r="N243" i="21"/>
  <c r="N244" i="21"/>
  <c r="N245" i="21"/>
  <c r="N246" i="21"/>
  <c r="N247" i="21"/>
  <c r="N248" i="21"/>
  <c r="N249" i="21"/>
  <c r="N250" i="21"/>
  <c r="N251" i="21"/>
  <c r="N252" i="21"/>
  <c r="N253" i="21"/>
  <c r="N254" i="21"/>
  <c r="N255" i="21"/>
  <c r="N256" i="21"/>
  <c r="N257" i="21"/>
  <c r="N258" i="21"/>
  <c r="N259" i="21"/>
  <c r="N260" i="21"/>
  <c r="N261" i="21"/>
  <c r="N262" i="21"/>
  <c r="N263" i="21"/>
  <c r="N264" i="21"/>
  <c r="N265" i="21"/>
  <c r="N266" i="21"/>
  <c r="N267" i="21"/>
  <c r="N268" i="21"/>
  <c r="N269" i="21"/>
  <c r="N270" i="21"/>
  <c r="N271" i="21"/>
  <c r="N272" i="21"/>
  <c r="N273" i="21"/>
  <c r="N274" i="21"/>
  <c r="N275" i="21"/>
  <c r="N276" i="21"/>
  <c r="N277" i="21"/>
  <c r="N278" i="21"/>
  <c r="N279" i="21"/>
  <c r="N280" i="21"/>
  <c r="N281" i="21"/>
  <c r="N282" i="21"/>
  <c r="N283" i="21"/>
  <c r="N284" i="21"/>
  <c r="N285" i="21"/>
  <c r="N286" i="21"/>
  <c r="N287" i="21"/>
  <c r="N288" i="21"/>
  <c r="N289" i="21"/>
  <c r="N290" i="21"/>
  <c r="N291" i="21"/>
  <c r="N292" i="21"/>
  <c r="N293" i="21"/>
  <c r="N294" i="21"/>
  <c r="N295" i="21"/>
  <c r="N296" i="21"/>
  <c r="N297" i="21"/>
  <c r="N298" i="21"/>
  <c r="N299" i="21"/>
  <c r="N300" i="21"/>
  <c r="N301" i="21"/>
  <c r="N302" i="21"/>
  <c r="N303" i="21"/>
  <c r="N304" i="21"/>
  <c r="N305" i="21"/>
  <c r="N306" i="21"/>
  <c r="N307" i="21"/>
  <c r="N308" i="21"/>
  <c r="N309" i="21"/>
  <c r="N310" i="21"/>
  <c r="N311" i="21"/>
  <c r="N312" i="21"/>
  <c r="N313" i="21"/>
  <c r="N314" i="21"/>
  <c r="N315" i="21"/>
  <c r="N316" i="21"/>
  <c r="N317" i="21"/>
  <c r="N318" i="21"/>
  <c r="N319" i="21"/>
  <c r="N320" i="21"/>
  <c r="N321" i="21"/>
  <c r="N322" i="21"/>
  <c r="N323" i="21"/>
  <c r="N324" i="21"/>
  <c r="N325" i="21"/>
  <c r="N326" i="21"/>
  <c r="N327" i="21"/>
  <c r="N328" i="21"/>
  <c r="N329" i="21"/>
  <c r="N330" i="21"/>
  <c r="N331" i="21"/>
  <c r="N332" i="21"/>
  <c r="N333" i="21"/>
  <c r="N334" i="21"/>
  <c r="N335" i="21"/>
  <c r="N336" i="21"/>
  <c r="N337" i="21"/>
  <c r="N338" i="21"/>
  <c r="N339" i="21"/>
  <c r="N340" i="21"/>
  <c r="N2" i="21"/>
  <c r="F15" i="17"/>
  <c r="F16" i="17"/>
  <c r="F17" i="17"/>
  <c r="F18" i="17"/>
  <c r="F19" i="17"/>
  <c r="C15" i="17"/>
  <c r="C16" i="17"/>
  <c r="C17" i="17"/>
  <c r="C18" i="17"/>
  <c r="C19" i="17"/>
  <c r="E15" i="17"/>
  <c r="E16" i="17"/>
  <c r="E17" i="17"/>
  <c r="E18" i="17"/>
  <c r="E19" i="17"/>
  <c r="D16" i="17"/>
  <c r="D17" i="17"/>
  <c r="D18" i="17"/>
  <c r="D19" i="17"/>
  <c r="D15" i="17"/>
  <c r="C14" i="17"/>
  <c r="F14" i="17"/>
  <c r="E14" i="17"/>
  <c r="D14" i="17"/>
  <c r="B15" i="17"/>
  <c r="B16" i="17"/>
  <c r="B17" i="17"/>
  <c r="B18" i="17"/>
  <c r="B19" i="17"/>
  <c r="B14" i="17"/>
  <c r="F6" i="17"/>
  <c r="F7" i="17"/>
  <c r="F8" i="17"/>
  <c r="F9" i="17"/>
  <c r="F10" i="17"/>
  <c r="E6" i="17"/>
  <c r="E7" i="17"/>
  <c r="E8" i="17"/>
  <c r="E9" i="17"/>
  <c r="E10" i="17"/>
  <c r="D6" i="17"/>
  <c r="D7" i="17"/>
  <c r="D8" i="17"/>
  <c r="D9" i="17"/>
  <c r="D10" i="17"/>
  <c r="F5" i="17"/>
  <c r="E5" i="17"/>
  <c r="D5" i="17"/>
  <c r="C6" i="17"/>
  <c r="C7" i="17"/>
  <c r="C8" i="17"/>
  <c r="C9" i="17"/>
  <c r="C10" i="17"/>
  <c r="C5" i="17"/>
  <c r="B6" i="17"/>
  <c r="B7" i="17"/>
  <c r="B8" i="17"/>
  <c r="B9" i="17"/>
  <c r="B10" i="17"/>
  <c r="B5" i="17"/>
  <c r="K23" i="16"/>
  <c r="K22" i="16"/>
  <c r="K21" i="16"/>
  <c r="L21" i="16"/>
  <c r="L22" i="16"/>
  <c r="L23" i="16"/>
  <c r="L20" i="16"/>
  <c r="K20" i="16"/>
  <c r="M20" i="16" s="1"/>
  <c r="N14" i="16"/>
  <c r="N15" i="16"/>
  <c r="N16" i="16"/>
  <c r="N13" i="16"/>
  <c r="L14" i="16"/>
  <c r="L15" i="16"/>
  <c r="L16" i="16"/>
  <c r="L13" i="16"/>
  <c r="K13" i="16"/>
  <c r="M13" i="16" s="1"/>
  <c r="K14" i="16"/>
  <c r="M14" i="16" s="1"/>
  <c r="K15" i="16"/>
  <c r="M15" i="16" s="1"/>
  <c r="K16" i="16"/>
  <c r="M16" i="16" s="1"/>
  <c r="G2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C237" i="3"/>
  <c r="C301" i="3"/>
  <c r="C96" i="3"/>
  <c r="C272" i="3"/>
  <c r="C69" i="3"/>
  <c r="C264" i="3"/>
  <c r="C161" i="3"/>
  <c r="C194" i="3"/>
  <c r="C257" i="3"/>
  <c r="C144" i="3"/>
  <c r="C124" i="3"/>
  <c r="C239" i="3"/>
  <c r="C97" i="3"/>
  <c r="C290" i="3"/>
  <c r="C240" i="3"/>
  <c r="C179" i="3"/>
  <c r="C163" i="3"/>
  <c r="C166" i="3"/>
  <c r="C279" i="3"/>
  <c r="C234" i="3"/>
  <c r="C225" i="3"/>
  <c r="C235" i="3"/>
  <c r="C255" i="3"/>
  <c r="C289" i="3"/>
  <c r="C190" i="3"/>
  <c r="C260" i="3"/>
  <c r="C75" i="3"/>
  <c r="C49" i="3"/>
  <c r="C296" i="3"/>
  <c r="C26" i="3"/>
  <c r="C63" i="3"/>
  <c r="C126" i="3"/>
  <c r="C263" i="3"/>
  <c r="C141" i="3"/>
  <c r="C236" i="3"/>
  <c r="C71" i="3"/>
  <c r="C127" i="3"/>
  <c r="C253" i="3"/>
  <c r="C105" i="3"/>
  <c r="C67" i="3"/>
  <c r="C45" i="3"/>
  <c r="C46" i="3"/>
  <c r="C173" i="3"/>
  <c r="C242" i="3"/>
  <c r="C76" i="3"/>
  <c r="C82" i="3"/>
  <c r="C246" i="3"/>
  <c r="C159" i="3"/>
  <c r="C114" i="3"/>
  <c r="C230" i="3"/>
  <c r="C90" i="3"/>
  <c r="C15" i="3"/>
  <c r="C84" i="3"/>
  <c r="C184" i="3"/>
  <c r="C122" i="3"/>
  <c r="C223" i="3"/>
  <c r="C5" i="3"/>
  <c r="C182" i="3"/>
  <c r="C85" i="3"/>
  <c r="C102" i="3"/>
  <c r="C9" i="3"/>
  <c r="C303" i="3"/>
  <c r="C220" i="3"/>
  <c r="C139" i="3"/>
  <c r="C24" i="3"/>
  <c r="C280" i="3"/>
  <c r="C61" i="3"/>
  <c r="C181" i="3"/>
  <c r="C13" i="3"/>
  <c r="C138" i="3"/>
  <c r="C193" i="3"/>
  <c r="C277" i="3"/>
  <c r="C117" i="3"/>
  <c r="C136" i="3"/>
  <c r="C222" i="3"/>
  <c r="C53" i="3"/>
  <c r="C219" i="3"/>
  <c r="C192" i="3"/>
  <c r="C231" i="3"/>
  <c r="C178" i="3"/>
  <c r="C205" i="3"/>
  <c r="C86" i="3"/>
  <c r="C199" i="3"/>
  <c r="C62" i="3"/>
  <c r="C273" i="3"/>
  <c r="C51" i="3"/>
  <c r="C112" i="3"/>
  <c r="C77" i="3"/>
  <c r="C262" i="3"/>
  <c r="C228" i="3"/>
  <c r="C111" i="3"/>
  <c r="C27" i="3"/>
  <c r="C78" i="3"/>
  <c r="C268" i="3"/>
  <c r="C162" i="3"/>
  <c r="C197" i="3"/>
  <c r="C150" i="3"/>
  <c r="C256" i="3"/>
  <c r="C183" i="3"/>
  <c r="C245" i="3"/>
  <c r="C16" i="3"/>
  <c r="C169" i="3"/>
  <c r="C108" i="3"/>
  <c r="C123" i="3"/>
  <c r="C204" i="3"/>
  <c r="C285" i="3"/>
  <c r="C167" i="3"/>
  <c r="C81" i="3"/>
  <c r="C134" i="3"/>
  <c r="C244" i="3"/>
  <c r="C73" i="3"/>
  <c r="C148" i="3"/>
  <c r="C121" i="3"/>
  <c r="C286" i="3"/>
  <c r="C79" i="3"/>
  <c r="C142" i="3"/>
  <c r="C226" i="3"/>
  <c r="C21" i="3"/>
  <c r="C41" i="3"/>
  <c r="C18" i="3"/>
  <c r="C224" i="3"/>
  <c r="C40" i="3"/>
  <c r="C17" i="3"/>
  <c r="C103" i="3"/>
  <c r="C168" i="3"/>
  <c r="C266" i="3"/>
  <c r="C129" i="3"/>
  <c r="C74" i="3"/>
  <c r="C191" i="3"/>
  <c r="C119" i="3"/>
  <c r="C115" i="3"/>
  <c r="C259" i="3"/>
  <c r="C261" i="3"/>
  <c r="C276" i="3"/>
  <c r="C54" i="3"/>
  <c r="C50" i="3"/>
  <c r="C87" i="3"/>
  <c r="C180" i="3"/>
  <c r="C91" i="3"/>
  <c r="C42" i="3"/>
  <c r="C265" i="3"/>
  <c r="C11" i="3"/>
  <c r="C274" i="3"/>
  <c r="C299" i="3"/>
  <c r="C48" i="3"/>
  <c r="C95" i="3"/>
  <c r="C57" i="3"/>
  <c r="C233" i="3"/>
  <c r="C281" i="3"/>
  <c r="C154" i="3"/>
  <c r="C59" i="3"/>
  <c r="C70" i="3"/>
  <c r="C20" i="3"/>
  <c r="C146" i="3"/>
  <c r="C155" i="3"/>
  <c r="C156" i="3"/>
  <c r="C149" i="3"/>
  <c r="C47" i="3"/>
  <c r="C186" i="3"/>
  <c r="C145" i="3"/>
  <c r="C200" i="3"/>
  <c r="C43" i="3"/>
  <c r="C93" i="3"/>
  <c r="C92" i="3"/>
  <c r="C100" i="3"/>
  <c r="C172" i="3"/>
  <c r="C243" i="3"/>
  <c r="C130" i="3"/>
  <c r="C267" i="3"/>
  <c r="C174" i="3"/>
  <c r="C250" i="3"/>
  <c r="C99" i="3"/>
  <c r="C107" i="3"/>
  <c r="C8" i="3"/>
  <c r="C302" i="3"/>
  <c r="C185" i="3"/>
  <c r="C7" i="3"/>
  <c r="C241" i="3"/>
  <c r="C189" i="3"/>
  <c r="C38" i="3"/>
  <c r="C164" i="3"/>
  <c r="C25" i="3"/>
  <c r="C110" i="3"/>
  <c r="C177" i="3"/>
  <c r="C208" i="3"/>
  <c r="C212" i="3"/>
  <c r="C207" i="3"/>
  <c r="C252" i="3"/>
  <c r="C300" i="3"/>
  <c r="C170" i="3"/>
  <c r="C98" i="3"/>
  <c r="C171" i="3"/>
  <c r="C209" i="3"/>
  <c r="C109" i="3"/>
  <c r="C128" i="3"/>
  <c r="C275" i="3"/>
  <c r="C58" i="3"/>
  <c r="C206" i="3"/>
  <c r="C284" i="3"/>
  <c r="C188" i="3"/>
  <c r="C218" i="3"/>
  <c r="C297" i="3"/>
  <c r="C23" i="3"/>
  <c r="C160" i="3"/>
  <c r="C157" i="3"/>
  <c r="C101" i="3"/>
  <c r="C201" i="3"/>
  <c r="C216" i="3"/>
  <c r="C12" i="3"/>
  <c r="C65" i="3"/>
  <c r="C133" i="3"/>
  <c r="C217" i="3"/>
  <c r="C14" i="3"/>
  <c r="C254" i="3"/>
  <c r="C293" i="3"/>
  <c r="C283" i="3"/>
  <c r="C64" i="3"/>
  <c r="C32" i="3"/>
  <c r="C4" i="3"/>
  <c r="C88" i="3"/>
  <c r="C152" i="3"/>
  <c r="C287" i="3"/>
  <c r="C19" i="3"/>
  <c r="C298" i="3"/>
  <c r="C33" i="3"/>
  <c r="C151" i="3"/>
  <c r="C221" i="3"/>
  <c r="C116" i="3"/>
  <c r="C232" i="3"/>
  <c r="C203" i="3"/>
  <c r="C6" i="3"/>
  <c r="C249" i="3"/>
  <c r="C238" i="3"/>
  <c r="C125" i="3"/>
  <c r="C120" i="3"/>
  <c r="C270" i="3"/>
  <c r="C251" i="3"/>
  <c r="C35" i="3"/>
  <c r="C202" i="3"/>
  <c r="C72" i="3"/>
  <c r="C66" i="3"/>
  <c r="C176" i="3"/>
  <c r="C30" i="3"/>
  <c r="C135" i="3"/>
  <c r="C39" i="3"/>
  <c r="C140" i="3"/>
  <c r="C29" i="3"/>
  <c r="C196" i="3"/>
  <c r="C247" i="3"/>
  <c r="C143" i="3"/>
  <c r="C89" i="3"/>
  <c r="C198" i="3"/>
  <c r="C118" i="3"/>
  <c r="C137" i="3"/>
  <c r="C295" i="3"/>
  <c r="C227" i="3"/>
  <c r="C55" i="3"/>
  <c r="C31" i="3"/>
  <c r="C195" i="3"/>
  <c r="C215" i="3"/>
  <c r="C94" i="3"/>
  <c r="C28" i="3"/>
  <c r="C10" i="3"/>
  <c r="C34" i="3"/>
  <c r="C165" i="3"/>
  <c r="C278" i="3"/>
  <c r="C210" i="3"/>
  <c r="C44" i="3"/>
  <c r="C271" i="3"/>
  <c r="C52" i="3"/>
  <c r="C104" i="3"/>
  <c r="C175" i="3"/>
  <c r="C229" i="3"/>
  <c r="C80" i="3"/>
  <c r="C56" i="3"/>
  <c r="C36" i="3"/>
  <c r="C153" i="3"/>
  <c r="C288" i="3"/>
  <c r="C214" i="3"/>
  <c r="C282" i="3"/>
  <c r="C158" i="3"/>
  <c r="C294" i="3"/>
  <c r="C147" i="3"/>
  <c r="C113" i="3"/>
  <c r="C60" i="3"/>
  <c r="C22" i="3"/>
  <c r="C269" i="3"/>
  <c r="C248" i="3"/>
  <c r="C211" i="3"/>
  <c r="C258" i="3"/>
  <c r="C132" i="3"/>
  <c r="C131" i="3"/>
  <c r="C68" i="3"/>
  <c r="C83" i="3"/>
  <c r="C291" i="3"/>
  <c r="C37" i="3"/>
  <c r="C292" i="3"/>
  <c r="C106" i="3"/>
  <c r="C213" i="3"/>
  <c r="C187" i="3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4" i="1"/>
  <c r="H14" i="25" l="1"/>
  <c r="I14" i="25" s="1"/>
  <c r="H11" i="25"/>
  <c r="I11" i="25" s="1"/>
  <c r="A21" i="29"/>
  <c r="M23" i="16"/>
  <c r="M21" i="16"/>
  <c r="M22" i="16"/>
  <c r="J4" i="3"/>
  <c r="J7" i="3"/>
  <c r="J5" i="3"/>
  <c r="J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97F5D4-1E55-4895-A0B3-3B9DAAD3C5CE}" keepAlive="1" name="Query - Table10" description="Connection to the 'Table10' query in the workbook." type="5" refreshedVersion="8" background="1" saveData="1">
    <dbPr connection="Provider=Microsoft.Mashup.OleDb.1;Data Source=$Workbook$;Location=Table10;Extended Properties=&quot;&quot;" command="SELECT * FROM [Table10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<sst xmlns="http://schemas.openxmlformats.org/spreadsheetml/2006/main" count="9631" uniqueCount="493">
  <si>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</si>
  <si>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</si>
  <si>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</si>
  <si>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</si>
  <si>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</si>
  <si>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</si>
  <si>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</si>
  <si>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</si>
  <si>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</si>
  <si>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</si>
  <si>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</si>
  <si>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</si>
  <si>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</si>
  <si>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</si>
  <si>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</si>
  <si>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</si>
  <si>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Check out our latest reel on twitter!</t>
  </si>
  <si>
    <t>#FutureOfDriving,#AnytimeIsTeslaTime</t>
  </si>
  <si>
    <t>CybertruckLaunch</t>
  </si>
  <si>
    <t>P002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</si>
  <si>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</si>
  <si>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</si>
  <si>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</si>
  <si>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</si>
  <si>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</si>
  <si>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</si>
  <si>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Check out our latest reel on youtube!</t>
  </si>
  <si>
    <t>#TeslaCoInnovation</t>
  </si>
  <si>
    <t>FSDUpdate</t>
  </si>
  <si>
    <t>P004</t>
  </si>
  <si>
    <t>Instagram</t>
  </si>
  <si>
    <t>Story</t>
  </si>
  <si>
    <t>Check out our latest story on instagram!</t>
  </si>
  <si>
    <t>#EVRevolution</t>
  </si>
  <si>
    <t>SustainabilityDrive</t>
  </si>
  <si>
    <t>P005</t>
  </si>
  <si>
    <t>#EVRevolution,#TeslaCoInnovation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</si>
  <si>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</si>
  <si>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</si>
  <si>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</si>
  <si>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</si>
  <si>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</si>
  <si>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</si>
  <si>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</si>
  <si>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</si>
  <si>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</si>
  <si>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</si>
  <si>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</si>
  <si>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</si>
  <si>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</si>
  <si>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</si>
  <si>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#FutureOfDriving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</si>
  <si>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</si>
  <si>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</si>
  <si>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</si>
  <si>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</si>
  <si>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</si>
  <si>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</si>
  <si>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</si>
  <si>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</si>
  <si>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</si>
  <si>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</si>
  <si>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</si>
  <si>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</si>
  <si>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</si>
  <si>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</si>
  <si>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</si>
  <si>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</si>
  <si>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</si>
  <si>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</si>
  <si>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</si>
  <si>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</si>
  <si>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#TeslaCoInnovation,#AnytimeIsTeslaTime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</si>
  <si>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</si>
  <si>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</si>
  <si>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</si>
  <si>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</si>
  <si>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</si>
  <si>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</si>
  <si>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</si>
  <si>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</si>
  <si>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</si>
  <si>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</si>
  <si>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</si>
  <si>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</si>
  <si>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</si>
  <si>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</si>
  <si>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</si>
  <si>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</si>
  <si>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</si>
  <si>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</si>
  <si>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</si>
  <si>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</si>
  <si>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</si>
  <si>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</si>
  <si>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</si>
  <si>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</si>
  <si>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</si>
  <si>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</si>
  <si>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</si>
  <si>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</si>
  <si>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</si>
  <si>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</si>
  <si>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</si>
  <si>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</si>
  <si>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</si>
  <si>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</si>
  <si>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</si>
  <si>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</si>
  <si>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#EVRevolution,#BetterWithTesla</t>
  </si>
  <si>
    <t>P054</t>
  </si>
  <si>
    <t>P055</t>
  </si>
  <si>
    <t>P056</t>
  </si>
  <si>
    <t>P057</t>
  </si>
  <si>
    <t>P058</t>
  </si>
  <si>
    <t>P059</t>
  </si>
  <si>
    <t>P060</t>
  </si>
  <si>
    <t>#EVRevolution,#TeslaCoInnovation,#AnytimeIsTeslaTime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</si>
  <si>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</si>
  <si>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</si>
  <si>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</si>
  <si>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</si>
  <si>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</si>
  <si>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</si>
  <si>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</si>
  <si>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</si>
  <si>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</si>
  <si>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</si>
  <si>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</si>
  <si>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</si>
  <si>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</si>
  <si>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</si>
  <si>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</si>
  <si>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</si>
  <si>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</si>
  <si>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</si>
  <si>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</si>
  <si>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</si>
  <si>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</si>
  <si>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</si>
  <si>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</si>
  <si>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#FutureOfDriving,#TeslaCoInnovation,#AnytimeIsTeslaTime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</si>
  <si>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</si>
  <si>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</si>
  <si>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</si>
  <si>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</si>
  <si>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</si>
  <si>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</si>
  <si>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</si>
  <si>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</si>
  <si>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</si>
  <si>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</si>
  <si>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</si>
  <si>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</si>
  <si>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</si>
  <si>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</si>
  <si>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</si>
  <si>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</si>
  <si>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</si>
  <si>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</si>
  <si>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</si>
  <si>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</si>
  <si>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</si>
  <si>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</si>
  <si>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</si>
  <si>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</si>
  <si>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</si>
  <si>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</si>
  <si>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</si>
  <si>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</si>
  <si>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</si>
  <si>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</si>
  <si>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</si>
  <si>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</si>
  <si>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</si>
  <si>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</si>
  <si>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</si>
  <si>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</si>
  <si>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</si>
  <si>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</si>
  <si>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</si>
  <si>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</si>
  <si>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</si>
  <si>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</si>
  <si>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</si>
  <si>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</si>
  <si>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</si>
  <si>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</si>
  <si>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</si>
  <si>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</si>
  <si>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</si>
  <si>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</si>
  <si>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</si>
  <si>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</si>
  <si>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</si>
  <si>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</si>
  <si>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</si>
  <si>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</si>
  <si>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</si>
  <si>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</si>
  <si>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</si>
  <si>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#EVRevolution,#SmoothLikeNitroTesla</t>
  </si>
  <si>
    <t>P141</t>
  </si>
  <si>
    <t>P142</t>
  </si>
  <si>
    <t>P143</t>
  </si>
  <si>
    <t>P144</t>
  </si>
  <si>
    <t>P145</t>
  </si>
  <si>
    <t>P146</t>
  </si>
  <si>
    <t>#EVRevolution,#AnytimeIsTeslaTime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</si>
  <si>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</si>
  <si>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</si>
  <si>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</si>
  <si>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</si>
  <si>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</si>
  <si>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</si>
  <si>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</si>
  <si>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</si>
  <si>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</si>
  <si>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</si>
  <si>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</si>
  <si>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</si>
  <si>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</si>
  <si>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</si>
  <si>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</si>
  <si>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</si>
  <si>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</si>
  <si>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</si>
  <si>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</si>
  <si>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</si>
  <si>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</si>
  <si>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</si>
  <si>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</si>
  <si>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</si>
  <si>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</si>
  <si>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</si>
  <si>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</si>
  <si>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</si>
  <si>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</si>
  <si>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</si>
  <si>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</si>
  <si>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</si>
  <si>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</si>
  <si>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</si>
  <si>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</si>
  <si>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</si>
  <si>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</si>
  <si>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</si>
  <si>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</si>
  <si>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</si>
  <si>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</si>
  <si>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</si>
  <si>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</si>
  <si>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</si>
  <si>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</si>
  <si>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</si>
  <si>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</si>
  <si>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</si>
  <si>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</si>
  <si>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</si>
  <si>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</si>
  <si>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</si>
  <si>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</si>
  <si>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</si>
  <si>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</si>
  <si>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</si>
  <si>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</si>
  <si>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</si>
  <si>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</si>
  <si>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#TeslaCoInnovation,#SmoothLikeNitroTesla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</si>
  <si>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</si>
  <si>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</si>
  <si>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</si>
  <si>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</si>
  <si>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</si>
  <si>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</si>
  <si>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</si>
  <si>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</si>
  <si>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</si>
  <si>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</si>
  <si>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</si>
  <si>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</si>
  <si>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</si>
  <si>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</si>
  <si>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</si>
  <si>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</si>
  <si>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</si>
  <si>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#FutureOfDriving,#SmoothLikeNitroTesla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</si>
  <si>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</si>
  <si>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</si>
  <si>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</si>
  <si>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</si>
  <si>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</si>
  <si>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</si>
  <si>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</si>
  <si>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</si>
  <si>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</si>
  <si>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</si>
  <si>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</si>
  <si>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</si>
  <si>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</si>
  <si>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</si>
  <si>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#FutureOfDriving,#AnytimeIsTeslaTime,#EVRevolution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</si>
  <si>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</si>
  <si>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</si>
  <si>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</si>
  <si>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</si>
  <si>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</si>
  <si>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</si>
  <si>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</si>
  <si>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</si>
  <si>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</si>
  <si>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</si>
  <si>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</si>
  <si>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#FutureOfDriving,#EVRevolution,#BetterWithTesla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</si>
  <si>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</si>
  <si>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</si>
  <si>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</si>
  <si>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</si>
  <si>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</si>
  <si>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</si>
  <si>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</si>
  <si>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</si>
  <si>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</si>
  <si>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</si>
  <si>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#EVRevolution,#EVRevolution,#BetterWithTesla</t>
  </si>
  <si>
    <t>P258</t>
  </si>
  <si>
    <t>P259</t>
  </si>
  <si>
    <t>P260</t>
  </si>
  <si>
    <t>#TeslaCoInnovation,#EVRevolution,#BetterWithTesla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</si>
  <si>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</si>
  <si>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</si>
  <si>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</si>
  <si>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</si>
  <si>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</si>
  <si>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</si>
  <si>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</si>
  <si>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</si>
  <si>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</si>
  <si>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</si>
  <si>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</si>
  <si>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</si>
  <si>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</si>
  <si>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</si>
  <si>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</si>
  <si>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</si>
  <si>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</si>
  <si>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</si>
  <si>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</si>
  <si>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</si>
  <si>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</si>
  <si>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</si>
  <si>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</si>
  <si>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</si>
  <si>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</si>
  <si>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</si>
  <si>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</si>
  <si>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</si>
  <si>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</si>
  <si>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</si>
  <si>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</si>
  <si>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</si>
  <si>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</si>
  <si>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</si>
  <si>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</si>
  <si>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</si>
  <si>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</si>
  <si>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</si>
  <si>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</si>
  <si>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</si>
  <si>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</si>
  <si>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</si>
  <si>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</si>
  <si>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</si>
  <si>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</si>
  <si>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</si>
  <si>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Numerics Formatted</t>
  </si>
  <si>
    <t>TASK 1: Cleansed Data</t>
  </si>
  <si>
    <t xml:space="preserve">                                                              TASK 1: Cleaned Posts Dataset</t>
  </si>
  <si>
    <t>Duplicates removed | Dates standardized | Numerics formatted|Each hashtag is split into an individual column</t>
  </si>
  <si>
    <t>#AnytimeIsTeslaTime</t>
  </si>
  <si>
    <t>#BetterWithTesla</t>
  </si>
  <si>
    <t>#SmoothLikeNitroTesla</t>
  </si>
  <si>
    <t>Reference for Platform Standardization</t>
  </si>
  <si>
    <t>Start_Date</t>
  </si>
  <si>
    <t>End_Date</t>
  </si>
  <si>
    <t>Objective</t>
  </si>
  <si>
    <t>Total_Budget</t>
  </si>
  <si>
    <t>Target_Platforms</t>
  </si>
  <si>
    <t>Primary_Hashtags</t>
  </si>
  <si>
    <t>Product Awareness</t>
  </si>
  <si>
    <t>Instagram,Facebook</t>
  </si>
  <si>
    <t>Customer Engagement</t>
  </si>
  <si>
    <t>Instagram,YouTube</t>
  </si>
  <si>
    <t>#AnytimeIsTeslaTime,</t>
  </si>
  <si>
    <t>Vehicle Launch</t>
  </si>
  <si>
    <t>Facebook,Twitter</t>
  </si>
  <si>
    <t>Community Growth</t>
  </si>
  <si>
    <t>Instagram,Twitter</t>
  </si>
  <si>
    <t>#BetterWithTesla,#FutureOfDriving</t>
  </si>
  <si>
    <t>Average Engagement Rate</t>
  </si>
  <si>
    <t>Grand Total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</si>
  <si>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</si>
  <si>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</si>
  <si>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</si>
  <si>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</si>
  <si>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</si>
  <si>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</si>
  <si>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Values</t>
  </si>
  <si>
    <t xml:space="preserve"> Pivot Tables</t>
  </si>
  <si>
    <t xml:space="preserve">Average Engagement Rate | Top 10 Posts </t>
  </si>
  <si>
    <t xml:space="preserve">                                                             Average Engagement Rate Per Platform</t>
  </si>
  <si>
    <t>Row Labels</t>
  </si>
  <si>
    <t>Average of Clicks</t>
  </si>
  <si>
    <t>Hashtags</t>
  </si>
  <si>
    <t xml:space="preserve">                                                                    TASK 2: Engagement Analysis</t>
  </si>
  <si>
    <t xml:space="preserve">                                                                TASK 2: Engagement Analysis</t>
  </si>
  <si>
    <t>Engagement | Follower Growth | Ad Spend ROI | Strategy Recommendation</t>
  </si>
  <si>
    <t>Sum of Impressions</t>
  </si>
  <si>
    <t xml:space="preserve">                                       TASK 3: Platform Analysis</t>
  </si>
  <si>
    <t>Average of Average Engagement Rate</t>
  </si>
  <si>
    <t>Total New Follows</t>
  </si>
  <si>
    <t>Total Unfollows</t>
  </si>
  <si>
    <t>Net Growth</t>
  </si>
  <si>
    <t>Growth Rate</t>
  </si>
  <si>
    <t>Toatal Ad Spend</t>
  </si>
  <si>
    <t>Efficiency</t>
  </si>
  <si>
    <t>Most Used Hashtags | Content Performance | Platform Recommendations</t>
  </si>
  <si>
    <t xml:space="preserve">                         TASK 4: Hashtag &amp; Content Strategy</t>
  </si>
  <si>
    <t>Times Used</t>
  </si>
  <si>
    <t>Average Like</t>
  </si>
  <si>
    <t>Average Comment</t>
  </si>
  <si>
    <t>Average Shares</t>
  </si>
  <si>
    <t>Average Impression</t>
  </si>
  <si>
    <t>Post Count</t>
  </si>
  <si>
    <t>Average Likes</t>
  </si>
  <si>
    <t>Average Comments</t>
  </si>
  <si>
    <t>Average Impressions</t>
  </si>
  <si>
    <t>Engagement Rate</t>
  </si>
  <si>
    <t>Average of Engagement Rate</t>
  </si>
  <si>
    <t>Count of Engagement Rate</t>
  </si>
  <si>
    <t>Facebook Total</t>
  </si>
  <si>
    <t>Instagram Total</t>
  </si>
  <si>
    <t>Twitter Total</t>
  </si>
  <si>
    <t>YouTube Total</t>
  </si>
  <si>
    <t>Impressions | Likes | Clicks | ROI | Follower Impact</t>
  </si>
  <si>
    <t>Posts</t>
  </si>
  <si>
    <t>Total Budget</t>
  </si>
  <si>
    <t>Total Impression</t>
  </si>
  <si>
    <t>Total Likes</t>
  </si>
  <si>
    <t xml:space="preserve">Total Clicks </t>
  </si>
  <si>
    <t>Average Clicks</t>
  </si>
  <si>
    <t>ROI Score</t>
  </si>
  <si>
    <t>Campaign</t>
  </si>
  <si>
    <t>Posts Before</t>
  </si>
  <si>
    <t>Posts During</t>
  </si>
  <si>
    <t>Avg Eng Rate Before</t>
  </si>
  <si>
    <t>Avg Eng Rate During</t>
  </si>
  <si>
    <t>Start Date</t>
  </si>
  <si>
    <t>End Date</t>
  </si>
  <si>
    <t>Difference</t>
  </si>
  <si>
    <t>Uplift</t>
  </si>
  <si>
    <t>Key Insights</t>
  </si>
  <si>
    <t>Campaign with high uplift is FSDUpdate.</t>
  </si>
  <si>
    <t>Campaign with second highest is ModelYCampaign.</t>
  </si>
  <si>
    <t xml:space="preserve"> CybertruckLaunch is the most lowest campaign</t>
  </si>
  <si>
    <t xml:space="preserve"> CybertruckLaunch is the second lowest campaign</t>
  </si>
  <si>
    <t>Youtube</t>
  </si>
  <si>
    <t>Peak Week</t>
  </si>
  <si>
    <t>Peak New Followers</t>
  </si>
  <si>
    <t xml:space="preserve">                                        TASK 5: Campaign Effectiveness</t>
  </si>
  <si>
    <t>Weekly Growth | Peak Week | Moving Average | Ad Spend Correlation</t>
  </si>
  <si>
    <t xml:space="preserve">               TASK 6: Follower Retention &amp; Loyalty</t>
  </si>
  <si>
    <t>Net Followers</t>
  </si>
  <si>
    <t>4 Week Average</t>
  </si>
  <si>
    <t>Sum of Net Followers</t>
  </si>
  <si>
    <t>Weeks</t>
  </si>
  <si>
    <t>New Follower</t>
  </si>
  <si>
    <t>Weekly Follower Growth Rate Per Platform</t>
  </si>
  <si>
    <t>Sum of Ad_Spend</t>
  </si>
  <si>
    <t>Average Clicks per post by Hashtag</t>
  </si>
  <si>
    <t>Highlighted Platform with Highest Engagement</t>
  </si>
  <si>
    <t>Follower Growth rates across Platforms</t>
  </si>
  <si>
    <t>Engagement vs. Ad Spend per platform</t>
  </si>
  <si>
    <t>Most Frequently used Tesla hashtags</t>
  </si>
  <si>
    <t>Comparision based on Content Type</t>
  </si>
  <si>
    <t>Content type per Platform</t>
  </si>
  <si>
    <t>Content Performance of Images, Videos, Carousel,Reel and Story</t>
  </si>
  <si>
    <t>Average Engagement Rate with and without Campaign</t>
  </si>
  <si>
    <t>Campaign Posts</t>
  </si>
  <si>
    <t>Without Campaign Posts</t>
  </si>
  <si>
    <t>Type</t>
  </si>
  <si>
    <t>Total</t>
  </si>
  <si>
    <t>Project Video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</si>
</sst>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3" fontId="1" fillId="0" borderId="0" xfId="0" applyNumberFormat="1" applyFont="1"/>
    <xf numFmtId="14" fontId="1" fillId="0" borderId="0" xfId="0" applyNumberFormat="1" applyFont="1"/>
    <xf numFmtId="0" fontId="4" fillId="2" borderId="0" xfId="0" applyFont="1" applyFill="1"/>
    <xf numFmtId="0" fontId="2" fillId="0" borderId="0" xfId="0" applyFont="1"/>
    <xf numFmtId="0" fontId="0" fillId="2" borderId="0" xfId="0" applyFill="1"/>
    <xf numFmtId="2" fontId="0" fillId="0" borderId="0" xfId="0" applyNumberFormat="1"/>
    <xf numFmtId="0" fontId="0" fillId="4" borderId="0" xfId="0" applyFill="1"/>
    <xf numFmtId="0" fontId="1" fillId="3" borderId="0" xfId="0" applyFont="1" applyFill="1"/>
    <xf numFmtId="2" fontId="0" fillId="3" borderId="0" xfId="0" applyNumberFormat="1" applyFill="1"/>
    <xf numFmtId="0" fontId="0" fillId="0" borderId="0" xfId="0" pivotButton="1"/>
    <xf numFmtId="0" fontId="2" fillId="4" borderId="0" xfId="0" applyFont="1" applyFill="1" applyAlignment="1">
      <alignment horizontal="center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14" fontId="0" fillId="0" borderId="0" xfId="0" applyNumberFormat="1"/>
    <xf numFmtId="0" fontId="0" fillId="6" borderId="8" xfId="0" applyFill="1" applyBorder="1"/>
    <xf numFmtId="0" fontId="0" fillId="0" borderId="0" xfId="0" applyAlignment="1">
      <alignment horizontal="left"/>
    </xf>
    <xf numFmtId="0" fontId="7" fillId="5" borderId="10" xfId="0" applyFont="1" applyFill="1" applyBorder="1"/>
    <xf numFmtId="0" fontId="7" fillId="5" borderId="11" xfId="0" applyFont="1" applyFill="1" applyBorder="1"/>
    <xf numFmtId="0" fontId="7" fillId="5" borderId="12" xfId="0" applyFont="1" applyFill="1" applyBorder="1"/>
    <xf numFmtId="0" fontId="0" fillId="6" borderId="10" xfId="0" applyFill="1" applyBorder="1"/>
    <xf numFmtId="0" fontId="0" fillId="6" borderId="11" xfId="0" applyFill="1" applyBorder="1"/>
    <xf numFmtId="14" fontId="0" fillId="6" borderId="11" xfId="0" applyNumberFormat="1" applyFill="1" applyBorder="1"/>
    <xf numFmtId="0" fontId="0" fillId="6" borderId="12" xfId="0" applyFill="1" applyBorder="1"/>
    <xf numFmtId="0" fontId="0" fillId="0" borderId="10" xfId="0" applyBorder="1"/>
    <xf numFmtId="0" fontId="0" fillId="0" borderId="11" xfId="0" applyBorder="1"/>
    <xf numFmtId="14" fontId="0" fillId="0" borderId="11" xfId="0" applyNumberFormat="1" applyBorder="1"/>
    <xf numFmtId="0" fontId="0" fillId="0" borderId="12" xfId="0" applyBorder="1"/>
    <xf numFmtId="0" fontId="0" fillId="6" borderId="7" xfId="0" applyFill="1" applyBorder="1"/>
    <xf numFmtId="14" fontId="0" fillId="6" borderId="8" xfId="0" applyNumberFormat="1" applyFill="1" applyBorder="1"/>
    <xf numFmtId="0" fontId="0" fillId="6" borderId="9" xfId="0" applyFill="1" applyBorder="1"/>
    <xf numFmtId="0" fontId="0" fillId="3" borderId="0" xfId="0" applyFill="1" applyAlignment="1">
      <alignment horizontal="left"/>
    </xf>
    <xf numFmtId="0" fontId="0" fillId="3" borderId="0" xfId="0" applyFill="1"/>
    <xf numFmtId="3" fontId="0" fillId="0" borderId="0" xfId="0" applyNumberFormat="1"/>
    <xf numFmtId="10" fontId="0" fillId="0" borderId="0" xfId="0" applyNumberFormat="1"/>
    <xf numFmtId="3" fontId="0" fillId="3" borderId="0" xfId="0" applyNumberFormat="1" applyFill="1"/>
    <xf numFmtId="0" fontId="2" fillId="7" borderId="0" xfId="0" applyFont="1" applyFill="1" applyAlignment="1">
      <alignment horizontal="left"/>
    </xf>
    <xf numFmtId="0" fontId="2" fillId="7" borderId="0" xfId="0" applyFont="1" applyFill="1"/>
    <xf numFmtId="0" fontId="0" fillId="7" borderId="0" xfId="0" applyFill="1" applyAlignment="1">
      <alignment horizontal="left"/>
    </xf>
    <xf numFmtId="10" fontId="0" fillId="7" borderId="0" xfId="0" applyNumberFormat="1" applyFill="1"/>
    <xf numFmtId="0" fontId="0" fillId="7" borderId="0" xfId="0" applyFill="1"/>
    <xf numFmtId="2" fontId="0" fillId="7" borderId="0" xfId="0" applyNumberFormat="1" applyFill="1"/>
    <xf numFmtId="0" fontId="8" fillId="2" borderId="0" xfId="0" applyFont="1" applyFill="1"/>
    <xf numFmtId="0" fontId="3" fillId="2" borderId="0" xfId="0" applyFont="1" applyFill="1"/>
    <xf numFmtId="0" fontId="0" fillId="0" borderId="0" xfId="0" applyAlignment="1">
      <alignment horizontal="left" indent="1"/>
    </xf>
    <xf numFmtId="0" fontId="9" fillId="8" borderId="0" xfId="0" applyFont="1" applyFill="1"/>
    <xf numFmtId="2" fontId="9" fillId="8" borderId="0" xfId="0" applyNumberFormat="1" applyFont="1" applyFill="1"/>
    <xf numFmtId="10" fontId="0" fillId="8" borderId="0" xfId="0" applyNumberFormat="1" applyFill="1"/>
    <xf numFmtId="1" fontId="0" fillId="0" borderId="0" xfId="0" applyNumberFormat="1"/>
    <xf numFmtId="0" fontId="2" fillId="0" borderId="1" xfId="0" applyFont="1" applyBorder="1" applyAlignment="1">
      <alignment vertical="top"/>
    </xf>
    <xf numFmtId="0" fontId="2" fillId="0" borderId="6" xfId="0" applyFont="1" applyBorder="1"/>
    <xf numFmtId="0" fontId="7" fillId="5" borderId="0" xfId="0" applyFont="1" applyFill="1"/>
    <xf numFmtId="0" fontId="2" fillId="0" borderId="13" xfId="0" applyFont="1" applyBorder="1" applyAlignment="1">
      <alignment horizontal="center" vertical="top"/>
    </xf>
    <xf numFmtId="14" fontId="0" fillId="3" borderId="0" xfId="0" applyNumberFormat="1" applyFill="1"/>
    <xf numFmtId="10" fontId="0" fillId="3" borderId="0" xfId="0" applyNumberForma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5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3" borderId="0" xfId="0" applyNumberFormat="1" applyFill="1"/>
    <xf numFmtId="0" fontId="0" fillId="8" borderId="0" xfId="0" applyFill="1"/>
    <xf numFmtId="0" fontId="0" fillId="9" borderId="0" xfId="0" applyFill="1"/>
    <xf numFmtId="10" fontId="0" fillId="9" borderId="0" xfId="0" applyNumberFormat="1" applyFill="1"/>
    <xf numFmtId="0" fontId="10" fillId="0" borderId="0" xfId="1"/>
  </cellXfs>
  <cellStyles count="2">
    <cellStyle name="Hyperlink" xfId="1" builtinId="8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Engagement vs. Ad Spend per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3'!$K$19</c:f>
              <c:strCache>
                <c:ptCount val="1"/>
                <c:pt idx="0">
                  <c:v>Average Engagement Rate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'Task 3'!$J$20:$J$23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YouTube</c:v>
                </c:pt>
                <c:pt idx="3">
                  <c:v>Twitter</c:v>
                </c:pt>
              </c:strCache>
            </c:strRef>
          </c:cat>
          <c:val>
            <c:numRef>
              <c:f>'Task 3'!$K$20:$K$23</c:f>
              <c:numCache>
                <c:formatCode>0.00%</c:formatCode>
                <c:ptCount val="4"/>
                <c:pt idx="0">
                  <c:v>5.4732653061224488</c:v>
                </c:pt>
                <c:pt idx="1">
                  <c:v>5.7401754385964914</c:v>
                </c:pt>
                <c:pt idx="2">
                  <c:v>5.1355813953488356</c:v>
                </c:pt>
                <c:pt idx="3">
                  <c:v>5.7050000000000001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2-44F4-AF0F-E4E87DC08900}"/>
            </c:ext>
          </c:extLst>
        </c:ser>
        <c:ser>
          <c:idx val="1"/>
          <c:order val="1"/>
          <c:tx>
            <c:strRef>
              <c:f>'Task 3'!$L$19</c:f>
              <c:strCache>
                <c:ptCount val="1"/>
                <c:pt idx="0">
                  <c:v>Toatal Ad Spend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42-44F4-AF0F-E4E87DC0890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A42-44F4-AF0F-E4E87DC0890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42-44F4-AF0F-E4E87DC0890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A42-44F4-AF0F-E4E87DC0890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'Task 3'!$J$20:$J$23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YouTube</c:v>
                </c:pt>
                <c:pt idx="3">
                  <c:v>Twitter</c:v>
                </c:pt>
              </c:strCache>
            </c:strRef>
          </c:cat>
          <c:val>
            <c:numRef>
              <c:f>'Task 3'!$L$20:$L$23</c:f>
              <c:numCache>
                <c:formatCode>General</c:formatCode>
                <c:ptCount val="4"/>
                <c:pt idx="0">
                  <c:v>1379539</c:v>
                </c:pt>
                <c:pt idx="1">
                  <c:v>1158469</c:v>
                </c:pt>
                <c:pt idx="2">
                  <c:v>1228647</c:v>
                </c:pt>
                <c:pt idx="3">
                  <c:v>1033605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2-44F4-AF0F-E4E87DC08900}"/>
            </c:ext>
          </c:extLst>
        </c:ser>
        <c:ser>
          <c:idx val="2"/>
          <c:order val="2"/>
          <c:tx>
            <c:strRef>
              <c:f>'Task 3'!$M$19</c:f>
              <c:strCache>
                <c:ptCount val="1"/>
                <c:pt idx="0">
                  <c:v>Efficiency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'Task 3'!$J$20:$J$23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YouTube</c:v>
                </c:pt>
                <c:pt idx="3">
                  <c:v>Twitter</c:v>
                </c:pt>
              </c:strCache>
            </c:strRef>
          </c:cat>
          <c:val>
            <c:numRef>
              <c:f>'Task 3'!$M$20:$M$23</c:f>
              <c:numCache>
                <c:formatCode>0.00</c:formatCode>
                <c:ptCount val="4"/>
                <c:pt idx="0">
                  <c:v>3.9674596413167361E-2</c:v>
                </c:pt>
                <c:pt idx="1">
                  <c:v>4.9549668041151657E-2</c:v>
                </c:pt>
                <c:pt idx="2">
                  <c:v>4.1798672811221092E-2</c:v>
                </c:pt>
                <c:pt idx="3">
                  <c:v>5.5195166432050927E-2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2-44F4-AF0F-E4E87DC08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225407"/>
        <c:axId val="1963242207"/>
      </c:barChart>
      <c:catAx>
        <c:axId val="19632254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63242207"/>
        <c:auto val="1"/>
        <c:lblAlgn val="ctr"/>
        <c:lblOffset val="100"/>
        <c:noMultiLvlLbl val="0"/>
      </c:catAx>
      <c:valAx>
        <c:axId val="19632422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963225407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2">
                    <a:lumMod val="10000"/>
                    <a:lumOff val="90000"/>
                  </a:schemeClr>
                </a:solidFill>
              </a:rPr>
              <a:t>Engagement Rate:Before vs During Each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'Task 5'!$F$10</c:f>
              <c:strCache>
                <c:ptCount val="1"/>
                <c:pt idx="0">
                  <c:v>Avg Eng Rate Before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'Task 5'!$A$11:$C$14</c:f>
              <c:multiLvlStrCache>
                <c:ptCount val="4"/>
                <c:lvl>
                  <c:pt idx="0">
                    <c:v>15-07-2024</c:v>
                  </c:pt>
                  <c:pt idx="1">
                    <c:v>31-10-2024</c:v>
                  </c:pt>
                  <c:pt idx="2">
                    <c:v>10-01-2025</c:v>
                  </c:pt>
                  <c:pt idx="3">
                    <c:v>31-03-2025</c:v>
                  </c:pt>
                </c:lvl>
                <c:lvl>
                  <c:pt idx="0">
                    <c:v>15-06-2024</c:v>
                  </c:pt>
                  <c:pt idx="1">
                    <c:v>01-10-2024</c:v>
                  </c:pt>
                  <c:pt idx="2">
                    <c:v>25-12-2024</c:v>
                  </c:pt>
                  <c:pt idx="3">
                    <c:v>01-03-2025</c:v>
                  </c:pt>
                </c:lvl>
                <c:lvl>
                  <c:pt idx="0">
                    <c:v>CybertruckLaunch</c:v>
                  </c:pt>
                  <c:pt idx="1">
                    <c:v>ModelYCampaign</c:v>
                  </c:pt>
                  <c:pt idx="2">
                    <c:v>FSDUpdate</c:v>
                  </c:pt>
                  <c:pt idx="3">
                    <c:v>SustainabilityDrive</c:v>
                  </c:pt>
                </c:lvl>
              </c:multiLvlStrCache>
            </c:multiLvlStrRef>
          </c:cat>
          <c:val>
            <c:numRef>
              <c:f>'Task 5'!$F$11:$F$14</c:f>
              <c:numCache>
                <c:formatCode>0.00%</c:formatCode>
                <c:ptCount val="4"/>
                <c:pt idx="0">
                  <c:v>0.18256403002695071</c:v>
                </c:pt>
                <c:pt idx="1">
                  <c:v>0.12623971500174036</c:v>
                </c:pt>
                <c:pt idx="2">
                  <c:v>0.1474176006033876</c:v>
                </c:pt>
                <c:pt idx="3">
                  <c:v>0.1375371426130354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8A-4E80-8F5C-506E361AAEE8}"/>
            </c:ext>
          </c:extLst>
        </c:ser>
        <c:ser>
          <c:idx val="3"/>
          <c:order val="3"/>
          <c:tx>
            <c:strRef>
              <c:f>'Task 5'!$G$10</c:f>
              <c:strCache>
                <c:ptCount val="1"/>
                <c:pt idx="0">
                  <c:v>Avg Eng Rate During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'Task 5'!$A$11:$C$14</c:f>
              <c:multiLvlStrCache>
                <c:ptCount val="4"/>
                <c:lvl>
                  <c:pt idx="0">
                    <c:v>15-07-2024</c:v>
                  </c:pt>
                  <c:pt idx="1">
                    <c:v>31-10-2024</c:v>
                  </c:pt>
                  <c:pt idx="2">
                    <c:v>10-01-2025</c:v>
                  </c:pt>
                  <c:pt idx="3">
                    <c:v>31-03-2025</c:v>
                  </c:pt>
                </c:lvl>
                <c:lvl>
                  <c:pt idx="0">
                    <c:v>15-06-2024</c:v>
                  </c:pt>
                  <c:pt idx="1">
                    <c:v>01-10-2024</c:v>
                  </c:pt>
                  <c:pt idx="2">
                    <c:v>25-12-2024</c:v>
                  </c:pt>
                  <c:pt idx="3">
                    <c:v>01-03-2025</c:v>
                  </c:pt>
                </c:lvl>
                <c:lvl>
                  <c:pt idx="0">
                    <c:v>CybertruckLaunch</c:v>
                  </c:pt>
                  <c:pt idx="1">
                    <c:v>ModelYCampaign</c:v>
                  </c:pt>
                  <c:pt idx="2">
                    <c:v>FSDUpdate</c:v>
                  </c:pt>
                  <c:pt idx="3">
                    <c:v>SustainabilityDrive</c:v>
                  </c:pt>
                </c:lvl>
              </c:multiLvlStrCache>
            </c:multiLvlStrRef>
          </c:cat>
          <c:val>
            <c:numRef>
              <c:f>'Task 5'!$G$11:$G$14</c:f>
              <c:numCache>
                <c:formatCode>0.00%</c:formatCode>
                <c:ptCount val="4"/>
                <c:pt idx="0">
                  <c:v>7.5350276474912131E-2</c:v>
                </c:pt>
                <c:pt idx="1">
                  <c:v>0.15063544700706727</c:v>
                </c:pt>
                <c:pt idx="2">
                  <c:v>0.19036825680849678</c:v>
                </c:pt>
                <c:pt idx="3">
                  <c:v>0.10884049000509631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8A-4E80-8F5C-506E361AA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2196752"/>
        <c:axId val="452197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'Task 5'!$D$10</c15:sqref>
                        </c15:formulaRef>
                      </c:ext>
                    </c:extLst>
                    <c:strCache>
                      <c:ptCount val="1"/>
                      <c:pt idx="0">
                        <c:v>Posts Before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'Task 5'!$A$11:$C$14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15-07-2024</c:v>
                        </c:pt>
                        <c:pt idx="1">
                          <c:v>31-10-2024</c:v>
                        </c:pt>
                        <c:pt idx="2">
                          <c:v>10-01-2025</c:v>
                        </c:pt>
                        <c:pt idx="3">
                          <c:v>31-03-2025</c:v>
                        </c:pt>
                      </c:lvl>
                      <c:lvl>
                        <c:pt idx="0">
                          <c:v>15-06-2024</c:v>
                        </c:pt>
                        <c:pt idx="1">
                          <c:v>01-10-2024</c:v>
                        </c:pt>
                        <c:pt idx="2">
                          <c:v>25-12-2024</c:v>
                        </c:pt>
                        <c:pt idx="3">
                          <c:v>01-03-2025</c:v>
                        </c:pt>
                      </c:lvl>
                      <c:lvl>
                        <c:pt idx="0">
                          <c:v>CybertruckLaunch</c:v>
                        </c:pt>
                        <c:pt idx="1">
                          <c:v>ModelYCampaign</c:v>
                        </c:pt>
                        <c:pt idx="2">
                          <c:v>FSDUpdate</c:v>
                        </c:pt>
                        <c:pt idx="3">
                          <c:v>SustainabilityDrive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'Task 5'!$D$11:$D$14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</c:v>
                      </c:pt>
                      <c:pt idx="1">
                        <c:v>104</c:v>
                      </c:pt>
                      <c:pt idx="2">
                        <c:v>187</c:v>
                      </c:pt>
                      <c:pt idx="3">
                        <c:v>233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98A-4E80-8F5C-506E361AAEE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'Task 5'!$E$10</c15:sqref>
                        </c15:formulaRef>
                      </c:ext>
                    </c:extLst>
                    <c:strCache>
                      <c:ptCount val="1"/>
                      <c:pt idx="0">
                        <c:v>Posts During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'Task 5'!$A$11:$C$14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15-07-2024</c:v>
                        </c:pt>
                        <c:pt idx="1">
                          <c:v>31-10-2024</c:v>
                        </c:pt>
                        <c:pt idx="2">
                          <c:v>10-01-2025</c:v>
                        </c:pt>
                        <c:pt idx="3">
                          <c:v>31-03-2025</c:v>
                        </c:pt>
                      </c:lvl>
                      <c:lvl>
                        <c:pt idx="0">
                          <c:v>15-06-2024</c:v>
                        </c:pt>
                        <c:pt idx="1">
                          <c:v>01-10-2024</c:v>
                        </c:pt>
                        <c:pt idx="2">
                          <c:v>25-12-2024</c:v>
                        </c:pt>
                        <c:pt idx="3">
                          <c:v>01-03-2025</c:v>
                        </c:pt>
                      </c:lvl>
                      <c:lvl>
                        <c:pt idx="0">
                          <c:v>CybertruckLaunch</c:v>
                        </c:pt>
                        <c:pt idx="1">
                          <c:v>ModelYCampaign</c:v>
                        </c:pt>
                        <c:pt idx="2">
                          <c:v>FSDUpdate</c:v>
                        </c:pt>
                        <c:pt idx="3">
                          <c:v>SustainabilityDrive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'Task 5'!$E$11:$E$14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27</c:v>
                      </c:pt>
                      <c:pt idx="1">
                        <c:v>35</c:v>
                      </c:pt>
                      <c:pt idx="2">
                        <c:v>10</c:v>
                      </c:pt>
                      <c:pt idx="3">
                        <c:v>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98A-4E80-8F5C-506E361AAEE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'Task 5'!$H$10</c15:sqref>
                        </c15:formulaRef>
                      </c:ext>
                    </c:extLst>
                    <c:strCache>
                      <c:ptCount val="1"/>
                      <c:pt idx="0">
                        <c:v>Difference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'Task 5'!$A$11:$C$14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15-07-2024</c:v>
                        </c:pt>
                        <c:pt idx="1">
                          <c:v>31-10-2024</c:v>
                        </c:pt>
                        <c:pt idx="2">
                          <c:v>10-01-2025</c:v>
                        </c:pt>
                        <c:pt idx="3">
                          <c:v>31-03-2025</c:v>
                        </c:pt>
                      </c:lvl>
                      <c:lvl>
                        <c:pt idx="0">
                          <c:v>15-06-2024</c:v>
                        </c:pt>
                        <c:pt idx="1">
                          <c:v>01-10-2024</c:v>
                        </c:pt>
                        <c:pt idx="2">
                          <c:v>25-12-2024</c:v>
                        </c:pt>
                        <c:pt idx="3">
                          <c:v>01-03-2025</c:v>
                        </c:pt>
                      </c:lvl>
                      <c:lvl>
                        <c:pt idx="0">
                          <c:v>CybertruckLaunch</c:v>
                        </c:pt>
                        <c:pt idx="1">
                          <c:v>ModelYCampaign</c:v>
                        </c:pt>
                        <c:pt idx="2">
                          <c:v>FSDUpdate</c:v>
                        </c:pt>
                        <c:pt idx="3">
                          <c:v>SustainabilityDrive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'Task 5'!$H$11:$H$14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-0.10721375355203858</c:v>
                      </c:pt>
                      <c:pt idx="1">
                        <c:v>2.4395732005326909E-2</c:v>
                      </c:pt>
                      <c:pt idx="2">
                        <c:v>4.2950656205109183E-2</c:v>
                      </c:pt>
                      <c:pt idx="3">
                        <c:v>-2.8696652607939091E-2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8A-4E80-8F5C-506E361AAEE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'Task 5'!$I$10</c15:sqref>
                        </c15:formulaRef>
                      </c:ext>
                    </c:extLst>
                    <c:strCache>
                      <c:ptCount val="1"/>
                      <c:pt idx="0">
                        <c:v>Uplift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'Task 5'!$A$11:$C$14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15-07-2024</c:v>
                        </c:pt>
                        <c:pt idx="1">
                          <c:v>31-10-2024</c:v>
                        </c:pt>
                        <c:pt idx="2">
                          <c:v>10-01-2025</c:v>
                        </c:pt>
                        <c:pt idx="3">
                          <c:v>31-03-2025</c:v>
                        </c:pt>
                      </c:lvl>
                      <c:lvl>
                        <c:pt idx="0">
                          <c:v>15-06-2024</c:v>
                        </c:pt>
                        <c:pt idx="1">
                          <c:v>01-10-2024</c:v>
                        </c:pt>
                        <c:pt idx="2">
                          <c:v>25-12-2024</c:v>
                        </c:pt>
                        <c:pt idx="3">
                          <c:v>01-03-2025</c:v>
                        </c:pt>
                      </c:lvl>
                      <c:lvl>
                        <c:pt idx="0">
                          <c:v>CybertruckLaunch</c:v>
                        </c:pt>
                        <c:pt idx="1">
                          <c:v>ModelYCampaign</c:v>
                        </c:pt>
                        <c:pt idx="2">
                          <c:v>FSDUpdate</c:v>
                        </c:pt>
                        <c:pt idx="3">
                          <c:v>SustainabilityDrive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'Task 5'!$I$11:$I$14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-0.58726658003885723</c:v>
                      </c:pt>
                      <c:pt idx="1">
                        <c:v>0.19324926394986383</c:v>
                      </c:pt>
                      <c:pt idx="2">
                        <c:v>0.2913536513232477</c:v>
                      </c:pt>
                      <c:pt idx="3">
                        <c:v>-0.20864656675817328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8A-4E80-8F5C-506E361AAEE8}"/>
                  </c:ext>
                </c:extLst>
              </c15:ser>
            </c15:filteredBarSeries>
          </c:ext>
        </c:extLst>
      </c:barChart>
      <c:catAx>
        <c:axId val="45219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97712"/>
        <c:crosses val="autoZero"/>
        <c:auto val="1"/>
        <c:lblAlgn val="ctr"/>
        <c:lblOffset val="100"/>
        <c:noMultiLvlLbl val="0"/>
      </c:catAx>
      <c:valAx>
        <c:axId val="45219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9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6'!$A$4:$B$4</c:f>
              <c:strCache>
                <c:ptCount val="2"/>
                <c:pt idx="0">
                  <c:v>Facebook</c:v>
                </c:pt>
                <c:pt idx="1">
                  <c:v>30-12-2024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6'!$C$3</c:f>
              <c:strCache>
                <c:ptCount val="1"/>
                <c:pt idx="0">
                  <c:v>Peak New Followers</c:v>
                </c:pt>
              </c:strCache>
            </c:strRef>
          </c:cat>
          <c:val>
            <c:numRef>
              <c:f>'Task 6'!$C$4</c:f>
              <c:numCache>
                <c:formatCode>General</c:formatCode>
                <c:ptCount val="1"/>
                <c:pt idx="0">
                  <c:v>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B-4019-9454-97CFDD05B57C}"/>
            </c:ext>
          </c:extLst>
        </c:ser>
        <c:ser>
          <c:idx val="1"/>
          <c:order val="1"/>
          <c:tx>
            <c:strRef>
              <c:f>'Task 6'!$A$5:$B$5</c:f>
              <c:strCache>
                <c:ptCount val="2"/>
                <c:pt idx="0">
                  <c:v>Instagram</c:v>
                </c:pt>
                <c:pt idx="1">
                  <c:v>15-07-2024</c:v>
                </c:pt>
              </c:strCache>
            </c:strRef>
          </c:tx>
          <c:spPr>
            <a:solidFill>
              <a:srgbClr val="FF0066"/>
            </a:solidFill>
            <a:ln>
              <a:noFill/>
            </a:ln>
            <a:effectLst/>
          </c:spPr>
          <c:invertIfNegative val="0"/>
          <c:cat>
            <c:strRef>
              <c:f>'Task 6'!$C$3</c:f>
              <c:strCache>
                <c:ptCount val="1"/>
                <c:pt idx="0">
                  <c:v>Peak New Followers</c:v>
                </c:pt>
              </c:strCache>
            </c:strRef>
          </c:cat>
          <c:val>
            <c:numRef>
              <c:f>'Task 6'!$C$5</c:f>
              <c:numCache>
                <c:formatCode>General</c:formatCode>
                <c:ptCount val="1"/>
                <c:pt idx="0">
                  <c:v>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AB-4019-9454-97CFDD05B57C}"/>
            </c:ext>
          </c:extLst>
        </c:ser>
        <c:ser>
          <c:idx val="2"/>
          <c:order val="2"/>
          <c:tx>
            <c:strRef>
              <c:f>'Task 6'!$A$6:$B$6</c:f>
              <c:strCache>
                <c:ptCount val="2"/>
                <c:pt idx="0">
                  <c:v>Twitter</c:v>
                </c:pt>
                <c:pt idx="1">
                  <c:v>31-03-2025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6'!$C$3</c:f>
              <c:strCache>
                <c:ptCount val="1"/>
                <c:pt idx="0">
                  <c:v>Peak New Followers</c:v>
                </c:pt>
              </c:strCache>
            </c:strRef>
          </c:cat>
          <c:val>
            <c:numRef>
              <c:f>'Task 6'!$C$6</c:f>
              <c:numCache>
                <c:formatCode>General</c:formatCode>
                <c:ptCount val="1"/>
                <c:pt idx="0">
                  <c:v>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AB-4019-9454-97CFDD05B57C}"/>
            </c:ext>
          </c:extLst>
        </c:ser>
        <c:ser>
          <c:idx val="3"/>
          <c:order val="3"/>
          <c:tx>
            <c:strRef>
              <c:f>'Task 6'!$A$7:$B$7</c:f>
              <c:strCache>
                <c:ptCount val="2"/>
                <c:pt idx="0">
                  <c:v>Youtube</c:v>
                </c:pt>
                <c:pt idx="1">
                  <c:v>31-03-2025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'Task 6'!$C$3</c:f>
              <c:strCache>
                <c:ptCount val="1"/>
                <c:pt idx="0">
                  <c:v>Peak New Followers</c:v>
                </c:pt>
              </c:strCache>
            </c:strRef>
          </c:cat>
          <c:val>
            <c:numRef>
              <c:f>'Task 6'!$C$7</c:f>
              <c:numCache>
                <c:formatCode>General</c:formatCode>
                <c:ptCount val="1"/>
                <c:pt idx="0">
                  <c:v>1957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AB-4019-9454-97CFDD05B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053872"/>
        <c:axId val="1427054352"/>
      </c:barChart>
      <c:catAx>
        <c:axId val="142705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97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054352"/>
        <c:crosses val="autoZero"/>
        <c:auto val="1"/>
        <c:lblAlgn val="ctr"/>
        <c:lblOffset val="100"/>
        <c:noMultiLvlLbl val="0"/>
      </c:catAx>
      <c:valAx>
        <c:axId val="142705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97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053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rnd" cmpd="sng" algn="ctr">
            <a:solidFill>
              <a:schemeClr val="tx1">
                <a:lumMod val="15000"/>
                <a:lumOff val="85000"/>
                <a:alpha val="98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alpha val="97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97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Instagram Weekly</a:t>
            </a:r>
            <a:r>
              <a:rPr lang="en-IN" sz="1200" baseline="0"/>
              <a:t> Follower Growth with 4 Week Moving Average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6'!$B$20</c:f>
              <c:strCache>
                <c:ptCount val="1"/>
                <c:pt idx="0">
                  <c:v>New Follower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'Task 6'!$A$21:$A$70</c:f>
              <c:numCache>
                <c:formatCode>m/d/yyyy</c:formatCode>
                <c:ptCount val="50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</c:numCache>
            </c:numRef>
          </c:cat>
          <c:val>
            <c:numRef>
              <c:f>'Task 6'!$B$21:$B$70</c:f>
              <c:numCache>
                <c:formatCode>General</c:formatCode>
                <c:ptCount val="50"/>
                <c:pt idx="0">
                  <c:v>1135</c:v>
                </c:pt>
                <c:pt idx="1">
                  <c:v>656</c:v>
                </c:pt>
                <c:pt idx="2">
                  <c:v>1048</c:v>
                </c:pt>
                <c:pt idx="3">
                  <c:v>911</c:v>
                </c:pt>
                <c:pt idx="4">
                  <c:v>226</c:v>
                </c:pt>
                <c:pt idx="5">
                  <c:v>1757</c:v>
                </c:pt>
                <c:pt idx="6">
                  <c:v>1960</c:v>
                </c:pt>
                <c:pt idx="7">
                  <c:v>508</c:v>
                </c:pt>
                <c:pt idx="8">
                  <c:v>653</c:v>
                </c:pt>
                <c:pt idx="9">
                  <c:v>645</c:v>
                </c:pt>
                <c:pt idx="10">
                  <c:v>1528</c:v>
                </c:pt>
                <c:pt idx="11">
                  <c:v>215</c:v>
                </c:pt>
                <c:pt idx="12">
                  <c:v>1685</c:v>
                </c:pt>
                <c:pt idx="13">
                  <c:v>1429</c:v>
                </c:pt>
                <c:pt idx="14">
                  <c:v>1592</c:v>
                </c:pt>
                <c:pt idx="15">
                  <c:v>778</c:v>
                </c:pt>
                <c:pt idx="16">
                  <c:v>817</c:v>
                </c:pt>
                <c:pt idx="17">
                  <c:v>1433</c:v>
                </c:pt>
                <c:pt idx="18">
                  <c:v>1939</c:v>
                </c:pt>
                <c:pt idx="19">
                  <c:v>1527</c:v>
                </c:pt>
                <c:pt idx="20">
                  <c:v>703</c:v>
                </c:pt>
                <c:pt idx="21">
                  <c:v>642</c:v>
                </c:pt>
                <c:pt idx="22">
                  <c:v>1466</c:v>
                </c:pt>
                <c:pt idx="23">
                  <c:v>1075</c:v>
                </c:pt>
                <c:pt idx="24">
                  <c:v>187</c:v>
                </c:pt>
                <c:pt idx="25">
                  <c:v>1854</c:v>
                </c:pt>
                <c:pt idx="26">
                  <c:v>1696</c:v>
                </c:pt>
                <c:pt idx="27">
                  <c:v>1494</c:v>
                </c:pt>
                <c:pt idx="28">
                  <c:v>1502</c:v>
                </c:pt>
                <c:pt idx="29">
                  <c:v>1092</c:v>
                </c:pt>
                <c:pt idx="30">
                  <c:v>1814</c:v>
                </c:pt>
                <c:pt idx="31">
                  <c:v>1013</c:v>
                </c:pt>
                <c:pt idx="32">
                  <c:v>1855</c:v>
                </c:pt>
                <c:pt idx="33">
                  <c:v>1748</c:v>
                </c:pt>
                <c:pt idx="34">
                  <c:v>115</c:v>
                </c:pt>
                <c:pt idx="35">
                  <c:v>1556</c:v>
                </c:pt>
                <c:pt idx="36">
                  <c:v>1957</c:v>
                </c:pt>
                <c:pt idx="37">
                  <c:v>1138</c:v>
                </c:pt>
                <c:pt idx="38">
                  <c:v>1440</c:v>
                </c:pt>
                <c:pt idx="39">
                  <c:v>1371</c:v>
                </c:pt>
                <c:pt idx="40">
                  <c:v>393</c:v>
                </c:pt>
                <c:pt idx="41">
                  <c:v>1102</c:v>
                </c:pt>
                <c:pt idx="42">
                  <c:v>490</c:v>
                </c:pt>
                <c:pt idx="43">
                  <c:v>1033</c:v>
                </c:pt>
                <c:pt idx="44">
                  <c:v>559</c:v>
                </c:pt>
                <c:pt idx="45">
                  <c:v>198</c:v>
                </c:pt>
                <c:pt idx="46">
                  <c:v>961</c:v>
                </c:pt>
                <c:pt idx="47">
                  <c:v>1693</c:v>
                </c:pt>
                <c:pt idx="48">
                  <c:v>1957</c:v>
                </c:pt>
                <c:pt idx="49">
                  <c:v>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F-4C4D-950E-D15DCA7348F0}"/>
            </c:ext>
          </c:extLst>
        </c:ser>
        <c:ser>
          <c:idx val="1"/>
          <c:order val="1"/>
          <c:tx>
            <c:strRef>
              <c:f>'Task 6'!$C$20</c:f>
              <c:strCache>
                <c:ptCount val="1"/>
                <c:pt idx="0">
                  <c:v>4 Week Average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'Task 6'!$A$21:$A$70</c:f>
              <c:numCache>
                <c:formatCode>m/d/yyyy</c:formatCode>
                <c:ptCount val="50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</c:numCache>
            </c:numRef>
          </c:cat>
          <c:val>
            <c:numRef>
              <c:f>'Task 6'!$C$21:$C$70</c:f>
              <c:numCache>
                <c:formatCode>General</c:formatCode>
                <c:ptCount val="50"/>
                <c:pt idx="0">
                  <c:v>888.5</c:v>
                </c:pt>
                <c:pt idx="1">
                  <c:v>745</c:v>
                </c:pt>
                <c:pt idx="2">
                  <c:v>976.75</c:v>
                </c:pt>
                <c:pt idx="3">
                  <c:v>752.75</c:v>
                </c:pt>
                <c:pt idx="4">
                  <c:v>323.25</c:v>
                </c:pt>
                <c:pt idx="5">
                  <c:v>760.5</c:v>
                </c:pt>
                <c:pt idx="6">
                  <c:v>567.5</c:v>
                </c:pt>
                <c:pt idx="7">
                  <c:v>688.25</c:v>
                </c:pt>
                <c:pt idx="8">
                  <c:v>548.25</c:v>
                </c:pt>
                <c:pt idx="9">
                  <c:v>200.5</c:v>
                </c:pt>
                <c:pt idx="10">
                  <c:v>932</c:v>
                </c:pt>
                <c:pt idx="11">
                  <c:v>747.25</c:v>
                </c:pt>
                <c:pt idx="12">
                  <c:v>725.75</c:v>
                </c:pt>
                <c:pt idx="13">
                  <c:v>705.5</c:v>
                </c:pt>
                <c:pt idx="14">
                  <c:v>1090</c:v>
                </c:pt>
                <c:pt idx="15">
                  <c:v>392</c:v>
                </c:pt>
                <c:pt idx="16">
                  <c:v>833.25</c:v>
                </c:pt>
                <c:pt idx="17">
                  <c:v>787.75</c:v>
                </c:pt>
                <c:pt idx="18">
                  <c:v>939.75</c:v>
                </c:pt>
                <c:pt idx="19">
                  <c:v>464</c:v>
                </c:pt>
                <c:pt idx="20">
                  <c:v>705.25</c:v>
                </c:pt>
                <c:pt idx="21">
                  <c:v>664</c:v>
                </c:pt>
                <c:pt idx="22">
                  <c:v>1146</c:v>
                </c:pt>
                <c:pt idx="23">
                  <c:v>573.75</c:v>
                </c:pt>
                <c:pt idx="24">
                  <c:v>132</c:v>
                </c:pt>
                <c:pt idx="25">
                  <c:v>1002</c:v>
                </c:pt>
                <c:pt idx="26">
                  <c:v>1198.75</c:v>
                </c:pt>
                <c:pt idx="27">
                  <c:v>1198</c:v>
                </c:pt>
                <c:pt idx="28">
                  <c:v>1261</c:v>
                </c:pt>
                <c:pt idx="29">
                  <c:v>978.5</c:v>
                </c:pt>
                <c:pt idx="30">
                  <c:v>1632.5</c:v>
                </c:pt>
                <c:pt idx="31">
                  <c:v>889.25</c:v>
                </c:pt>
                <c:pt idx="32">
                  <c:v>694.25</c:v>
                </c:pt>
                <c:pt idx="33">
                  <c:v>903.5</c:v>
                </c:pt>
                <c:pt idx="34">
                  <c:v>845.75</c:v>
                </c:pt>
                <c:pt idx="35">
                  <c:v>548.5</c:v>
                </c:pt>
                <c:pt idx="36">
                  <c:v>1320.25</c:v>
                </c:pt>
                <c:pt idx="37">
                  <c:v>923.25</c:v>
                </c:pt>
                <c:pt idx="38">
                  <c:v>1201.5</c:v>
                </c:pt>
                <c:pt idx="39">
                  <c:v>602.5</c:v>
                </c:pt>
                <c:pt idx="40">
                  <c:v>928</c:v>
                </c:pt>
                <c:pt idx="41">
                  <c:v>1010.5</c:v>
                </c:pt>
                <c:pt idx="42">
                  <c:v>404</c:v>
                </c:pt>
                <c:pt idx="43">
                  <c:v>1074.5</c:v>
                </c:pt>
                <c:pt idx="44">
                  <c:v>603</c:v>
                </c:pt>
                <c:pt idx="45">
                  <c:v>-34.25</c:v>
                </c:pt>
                <c:pt idx="46">
                  <c:v>1010</c:v>
                </c:pt>
                <c:pt idx="47">
                  <c:v>894.25</c:v>
                </c:pt>
                <c:pt idx="48">
                  <c:v>1148.5</c:v>
                </c:pt>
                <c:pt idx="49">
                  <c:v>498.75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8F-4C4D-950E-D15DCA734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7360352"/>
        <c:axId val="1717353152"/>
      </c:lineChart>
      <c:dateAx>
        <c:axId val="17173603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crossAx val="1717353152"/>
        <c:crosses val="autoZero"/>
        <c:auto val="1"/>
        <c:lblOffset val="100"/>
        <c:baseTimeUnit val="days"/>
      </c:dateAx>
      <c:valAx>
        <c:axId val="17173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New Followers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36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</a:t>
            </a:r>
            <a:r>
              <a:rPr lang="en-IN" baseline="0"/>
              <a:t> Spend vs Follower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670778146951286E-2"/>
          <c:y val="0.17171296296296298"/>
          <c:w val="0.88437546462761518"/>
          <c:h val="0.61535469524642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'Task 6'!$B$73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'Task 6'!$A$74:$A$78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Grand Total</c:v>
                </c:pt>
              </c:strCache>
            </c:strRef>
          </c:xVal>
          <c:yVal>
            <c:numRef>
              <c:f>'Task 6'!$B$74:$B$78</c:f>
              <c:numCache>
                <c:formatCode>General</c:formatCode>
                <c:ptCount val="5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  <c:pt idx="4">
                  <c:v>4832916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CD-487A-83EA-753BDF16FD37}"/>
            </c:ext>
          </c:extLst>
        </c:ser>
        <c:ser>
          <c:idx val="1"/>
          <c:order val="1"/>
          <c:tx>
            <c:strRef>
              <c:f>'Task 6'!$C$73</c:f>
              <c:strCache>
                <c:ptCount val="1"/>
                <c:pt idx="0">
                  <c:v>Sum of Net Followers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'Task 6'!$A$74:$A$78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  <c:pt idx="4">
                  <c:v>Grand Total</c:v>
                </c:pt>
              </c:strCache>
            </c:strRef>
          </c:xVal>
          <c:yVal>
            <c:numRef>
              <c:f>'Task 6'!$C$74:$C$78</c:f>
              <c:numCache>
                <c:formatCode>General</c:formatCode>
                <c:ptCount val="5"/>
                <c:pt idx="0">
                  <c:v>35557</c:v>
                </c:pt>
                <c:pt idx="1">
                  <c:v>48004</c:v>
                </c:pt>
                <c:pt idx="2">
                  <c:v>41177</c:v>
                </c:pt>
                <c:pt idx="3">
                  <c:v>35367</c:v>
                </c:pt>
                <c:pt idx="4">
                  <c:v>160105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CD-487A-83EA-753BDF16F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294112"/>
        <c:axId val="1717289312"/>
      </c:scatterChart>
      <c:valAx>
        <c:axId val="171729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289312"/>
        <c:crosses val="autoZero"/>
        <c:crossBetween val="midCat"/>
      </c:valAx>
      <c:valAx>
        <c:axId val="171728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29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28574</xdr:colOff>
      <xdr:row>41</xdr:row>
      <xdr:rowOff>171450</xdr:rowOff>
    </xdr:from>
    <xdr:ext cx="6334125" cy="13135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FADC67-4B7A-81B0-932F-689D9D04B1C6}"/>
            </a:ext>
          </a:extLst>
        </xdr:cNvPr>
        <xdr:cNvSpPr txBox="1"/>
      </xdr:nvSpPr>
      <xdr:spPr>
        <a:xfrm>
          <a:off x="9553574" y="8086725"/>
          <a:ext cx="6334125" cy="131356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b="0"/>
            <a:t>Instagram</a:t>
          </a:r>
          <a:r>
            <a:rPr lang="en-IN"/>
            <a:t> has the highest engagement (19%), so focus on car photos, reels, and stories. </a:t>
          </a:r>
        </a:p>
        <a:p>
          <a:r>
            <a:rPr lang="en-IN" b="0"/>
            <a:t>YouTube</a:t>
          </a:r>
          <a:r>
            <a:rPr lang="en-IN"/>
            <a:t> is best for detailed videos like product demos and Elon Musk talks. </a:t>
          </a:r>
        </a:p>
        <a:p>
          <a:r>
            <a:rPr lang="en-IN" b="0"/>
            <a:t>Twitter</a:t>
          </a:r>
          <a:r>
            <a:rPr lang="en-IN"/>
            <a:t> works well for quick updates, announcements</a:t>
          </a:r>
          <a:r>
            <a:rPr lang="en-IN" baseline="0"/>
            <a:t> and </a:t>
          </a:r>
          <a:r>
            <a:rPr lang="en-IN"/>
            <a:t>news. </a:t>
          </a:r>
        </a:p>
        <a:p>
          <a:r>
            <a:rPr lang="en-IN" b="0"/>
            <a:t>Facebook</a:t>
          </a:r>
          <a:r>
            <a:rPr lang="en-IN"/>
            <a:t> reaches more people but has lower engagement, so use it mainly for ads targeting</a:t>
          </a:r>
          <a:r>
            <a:rPr lang="en-IN" baseline="0"/>
            <a:t> </a:t>
          </a:r>
          <a:r>
            <a:rPr lang="en-IN"/>
            <a:t>older users.</a:t>
          </a:r>
        </a:p>
        <a:p>
          <a:endParaRPr lang="en-IN" sz="1100"/>
        </a:p>
        <a:p>
          <a:r>
            <a:rPr lang="en-IN" sz="1200" b="1" u="sng"/>
            <a:t>Reccomendation</a:t>
          </a:r>
        </a:p>
        <a:p>
          <a:r>
            <a:rPr lang="en-IN"/>
            <a:t>Use all platforms, but focus more on </a:t>
          </a:r>
          <a:r>
            <a:rPr lang="en-IN" b="0"/>
            <a:t>Instagram </a:t>
          </a:r>
          <a:r>
            <a:rPr lang="en-IN" b="0" baseline="0"/>
            <a:t> </a:t>
          </a:r>
          <a:r>
            <a:rPr lang="en-IN"/>
            <a:t>for better engagement results.</a:t>
          </a:r>
          <a:endParaRPr lang="en-IN" sz="1100"/>
        </a:p>
      </xdr:txBody>
    </xdr:sp>
    <xdr:clientData/>
  </xdr:oneCellAnchor>
  <xdr:twoCellAnchor>
    <xdr:from>
      <xdr:col>9</xdr:col>
      <xdr:colOff>28574</xdr:colOff>
      <xdr:row>25</xdr:row>
      <xdr:rowOff>33337</xdr:rowOff>
    </xdr:from>
    <xdr:to>
      <xdr:col>13</xdr:col>
      <xdr:colOff>809624</xdr:colOff>
      <xdr:row>39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0289D4-925A-30A1-8616-F8BA9BF9A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1219200</xdr:colOff>
      <xdr:row>14</xdr:row>
      <xdr:rowOff>185737</xdr:rowOff>
    </xdr:from>
    <xdr:to>
      <xdr:col>8</xdr:col>
      <xdr:colOff>47625</xdr:colOff>
      <xdr:row>29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94967A-DFF6-19B3-9D78-3465C38A3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176212</xdr:colOff>
      <xdr:row>2</xdr:row>
      <xdr:rowOff>61912</xdr:rowOff>
    </xdr:from>
    <xdr:to>
      <xdr:col>12</xdr:col>
      <xdr:colOff>247650</xdr:colOff>
      <xdr:row>16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E19F71-AE40-97D0-110D-78D5A6F42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</xdr:colOff>
      <xdr:row>18</xdr:row>
      <xdr:rowOff>152400</xdr:rowOff>
    </xdr:from>
    <xdr:to>
      <xdr:col>19</xdr:col>
      <xdr:colOff>371475</xdr:colOff>
      <xdr:row>38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B496DB-6A61-7F03-C944-2E2AFBE3F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104775</xdr:colOff>
      <xdr:row>72</xdr:row>
      <xdr:rowOff>14287</xdr:rowOff>
    </xdr:from>
    <xdr:to>
      <xdr:col>20</xdr:col>
      <xdr:colOff>228600</xdr:colOff>
      <xdr:row>86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5CA5E3-9A56-753F-81E6-F301ED934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4.972502199074" createdVersion="8" refreshedVersion="8" minRefreshableVersion="3" recordCount="300" xr:uid="{B826FF57-E554-49B8-AB27-FF2F2AA65AF4}">
  <cacheSource type="worksheet">
    <worksheetSource ref="A1:M301" sheet="Posts"/>
  </cacheSource>
  <cacheFields count="13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0">
      <sharedItems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 count="191">
        <n v="15"/>
        <n v="117"/>
        <n v="204"/>
        <n v="128"/>
        <n v="224"/>
        <n v="256"/>
        <n v="235"/>
        <n v="39"/>
        <n v="131"/>
        <n v="167"/>
        <n v="65"/>
        <n v="213"/>
        <n v="114"/>
        <n v="265"/>
        <n v="20"/>
        <n v="87"/>
        <n v="159"/>
        <n v="19"/>
        <n v="103"/>
        <n v="25"/>
        <n v="83"/>
        <n v="133"/>
        <n v="225"/>
        <n v="161"/>
        <n v="238"/>
        <n v="211"/>
        <n v="51"/>
        <n v="79"/>
        <n v="221"/>
        <n v="93"/>
        <n v="282"/>
        <n v="275"/>
        <n v="113"/>
        <n v="215"/>
        <n v="271"/>
        <n v="31"/>
        <n v="36"/>
        <n v="92"/>
        <n v="299"/>
        <n v="205"/>
        <n v="241"/>
        <n v="137"/>
        <n v="216"/>
        <n v="176"/>
        <n v="97"/>
        <n v="127"/>
        <n v="119"/>
        <n v="177"/>
        <n v="112"/>
        <n v="34"/>
        <n v="11"/>
        <n v="52"/>
        <n v="123"/>
        <n v="60"/>
        <n v="169"/>
        <n v="262"/>
        <n v="174"/>
        <n v="84"/>
        <n v="148"/>
        <n v="125"/>
        <n v="75"/>
        <n v="289"/>
        <n v="184"/>
        <n v="100"/>
        <n v="73"/>
        <n v="149"/>
        <n v="43"/>
        <n v="227"/>
        <n v="88"/>
        <n v="255"/>
        <n v="99"/>
        <n v="63"/>
        <n v="21"/>
        <n v="266"/>
        <n v="28"/>
        <n v="283"/>
        <n v="200"/>
        <n v="230"/>
        <n v="242"/>
        <n v="197"/>
        <n v="180"/>
        <n v="297"/>
        <n v="236"/>
        <n v="150"/>
        <n v="46"/>
        <n v="163"/>
        <n v="17"/>
        <n v="173"/>
        <n v="12"/>
        <n v="223"/>
        <n v="212"/>
        <n v="199"/>
        <n v="32"/>
        <n v="298"/>
        <n v="182"/>
        <n v="209"/>
        <n v="270"/>
        <n v="40"/>
        <n v="10"/>
        <n v="44"/>
        <n v="219"/>
        <n v="57"/>
        <n v="91"/>
        <n v="185"/>
        <n v="264"/>
        <n v="157"/>
        <n v="233"/>
        <n v="142"/>
        <n v="158"/>
        <n v="102"/>
        <n v="170"/>
        <n v="22"/>
        <n v="186"/>
        <n v="272"/>
        <n v="130"/>
        <n v="277"/>
        <n v="234"/>
        <n v="147"/>
        <n v="240"/>
        <n v="66"/>
        <n v="143"/>
        <n v="76"/>
        <n v="290"/>
        <n v="122"/>
        <n v="47"/>
        <n v="64"/>
        <n v="187"/>
        <n v="245"/>
        <n v="120"/>
        <n v="132"/>
        <n v="104"/>
        <n v="53"/>
        <n v="38"/>
        <n v="246"/>
        <n v="229"/>
        <n v="154"/>
        <n v="292"/>
        <n v="239"/>
        <n v="208"/>
        <n v="251"/>
        <n v="71"/>
        <n v="300"/>
        <n v="192"/>
        <n v="145"/>
        <n v="195"/>
        <n v="85"/>
        <n v="49"/>
        <n v="288"/>
        <n v="286"/>
        <n v="198"/>
        <n v="171"/>
        <n v="129"/>
        <n v="135"/>
        <n v="287"/>
        <n v="248"/>
        <n v="89"/>
        <n v="56"/>
        <n v="23"/>
        <n v="252"/>
        <n v="164"/>
        <n v="118"/>
        <n v="121"/>
        <n v="217"/>
        <n v="201"/>
        <n v="249"/>
        <n v="42"/>
        <n v="194"/>
        <n v="210"/>
        <n v="160"/>
        <n v="254"/>
        <n v="189"/>
        <n v="226"/>
        <n v="172"/>
        <n v="237"/>
        <n v="293"/>
        <n v="41"/>
        <n v="62"/>
        <n v="269"/>
        <n v="45"/>
        <n v="296"/>
        <n v="58"/>
        <n v="279"/>
        <n v="30"/>
        <n v="231"/>
        <n v="228"/>
        <n v="82"/>
        <n v="191"/>
        <n v="35"/>
        <n v="24"/>
        <n v="14"/>
        <n v="70"/>
      </sharedItems>
    </cacheField>
    <cacheField name="Hashtags Used" numFmtId="0">
      <sharedItems count="18">
        <s v="#FutureOfDriving,#AnytimeIsTeslaTime"/>
        <s v="#TeslaCoInnovation,#BetterWithTesla"/>
        <s v="#TeslaCoInnovation"/>
        <s v="#EVRevolution"/>
        <s v="#EVRevolution,#TeslaCoInnovation"/>
        <s v="#FutureOfDriving"/>
        <s v="#TeslaCoInnovation,#AnytimeIsTeslaTime"/>
        <s v="#EVRevolution,#BetterWithTesla"/>
        <s v="#EVRevolution,#TeslaCoInnovation,#AnytimeIsTeslaTime"/>
        <s v="#FutureOfDriving,#TeslaCoInnovation,#AnytimeIsTeslaTime"/>
        <s v="#EVRevolution,#SmoothLikeNitroTesla"/>
        <s v="#EVRevolution,#AnytimeIsTeslaTime"/>
        <s v="#TeslaCoInnovation,#SmoothLikeNitroTesla"/>
        <s v="#FutureOfDriving,#SmoothLikeNitroTesla"/>
        <s v="#FutureOfDriving,#AnytimeIsTeslaTime,#EVRevolution"/>
        <s v="#FutureOfDriving,#EVRevolution,#BetterWithTesla"/>
        <s v="#EVRevolution,#EVRevolution,#BetterWithTesla"/>
        <s v="#TeslaCoInnovation,#EVRevolution,#BetterWithTesla"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5.447732986111" createdVersion="8" refreshedVersion="8" minRefreshableVersion="3" recordCount="339" xr:uid="{A0B94A4E-E683-4D79-AFB5-E05E241B7ABD}">
  <cacheSource type="worksheet">
    <worksheetSource ref="A1:M340" sheet="Hashtag Split in Rows"/>
  </cacheSource>
  <cacheFields count="13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6">
        <s v="#FutureOfDriving"/>
        <s v="#AnytimeIsTeslaTime"/>
        <s v="#TeslaCoInnovation"/>
        <s v="#BetterWithTesla"/>
        <s v="#EVRevolution"/>
        <s v="#SmoothLikeNitroTesla"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5.530275925928" createdVersion="8" refreshedVersion="8" minRefreshableVersion="3" recordCount="300" xr:uid="{1F6EF6B6-9A91-4FFC-B320-426497824A8F}">
  <cacheSource type="worksheet">
    <worksheetSource ref="A1:G301" sheet="Task 3"/>
  </cacheSource>
  <cacheFields count="7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Likes" numFmtId="3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3">
      <sharedItems containsSemiMixedTypes="0" containsString="0" containsNumber="1" containsInteger="1" minValue="588" maxValue="98100"/>
    </cacheField>
    <cacheField name="Average Engagement Rate" numFmtId="2">
      <sharedItems containsSemiMixedTypes="0" containsString="0" containsNumber="1" minValue="5.2551586421122698" maxValue="181.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6.638482407405" createdVersion="8" refreshedVersion="8" minRefreshableVersion="3" recordCount="339" xr:uid="{FFCBB552-0E3C-4D3C-A733-5EE5219136C5}">
  <cacheSource type="worksheet">
    <worksheetSource name="Table10_1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ntainsBlank="1"/>
    </cacheField>
    <cacheField name="Engagement Rate" numFmtId="1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x v="0"/>
    <s v="Check out our latest reel on twitter!"/>
    <n v="1461"/>
    <n v="184"/>
    <n v="344"/>
    <n v="21915"/>
    <n v="21675"/>
    <x v="0"/>
    <x v="0"/>
    <s v="CybertruckLaunch"/>
  </r>
  <r>
    <s v="P002"/>
    <x v="0"/>
    <s v="2025-04-03"/>
    <x v="1"/>
    <s v="Check out our latest text on twitter!"/>
    <n v="4054"/>
    <n v="389"/>
    <n v="493"/>
    <n v="64864"/>
    <n v="64383"/>
    <x v="1"/>
    <x v="1"/>
    <s v="ModelYCampaign"/>
  </r>
  <r>
    <s v="P003"/>
    <x v="1"/>
    <s v="2025-05-12"/>
    <x v="0"/>
    <s v="Check out our latest reel on youtube!"/>
    <n v="2795"/>
    <n v="105"/>
    <n v="49"/>
    <n v="53105"/>
    <n v="52307"/>
    <x v="2"/>
    <x v="2"/>
    <s v="FSDUpdate"/>
  </r>
  <r>
    <s v="P004"/>
    <x v="2"/>
    <s v="2024-08-12"/>
    <x v="2"/>
    <s v="Check out our latest story on instagram!"/>
    <n v="2404"/>
    <n v="363"/>
    <n v="138"/>
    <n v="19232"/>
    <n v="18636"/>
    <x v="3"/>
    <x v="3"/>
    <s v="SustainabilityDrive"/>
  </r>
  <r>
    <s v="P005"/>
    <x v="1"/>
    <s v="2024-06-26"/>
    <x v="0"/>
    <s v="Check out our latest reel on youtube!"/>
    <n v="3557"/>
    <n v="687"/>
    <n v="424"/>
    <n v="71140"/>
    <n v="70701"/>
    <x v="4"/>
    <x v="4"/>
    <s v="CybertruckLaunch"/>
  </r>
  <r>
    <s v="P006"/>
    <x v="3"/>
    <s v="2024-10-31"/>
    <x v="3"/>
    <s v="Check out our latest carousel on facebook!"/>
    <n v="2945"/>
    <n v="930"/>
    <n v="355"/>
    <n v="23560"/>
    <n v="23275"/>
    <x v="5"/>
    <x v="2"/>
    <s v="ModelYCampaign"/>
  </r>
  <r>
    <s v="P007"/>
    <x v="0"/>
    <s v="2024-06-24"/>
    <x v="3"/>
    <s v="Check out our latest carousel on twitter!"/>
    <n v="3860"/>
    <n v="201"/>
    <n v="279"/>
    <n v="61760"/>
    <n v="61660"/>
    <x v="6"/>
    <x v="2"/>
    <s v="ModelYCampaign"/>
  </r>
  <r>
    <s v="P008"/>
    <x v="1"/>
    <s v="2024-07-13"/>
    <x v="4"/>
    <s v="Check out our latest image on youtube!"/>
    <n v="3929"/>
    <n v="262"/>
    <n v="278"/>
    <n v="43219"/>
    <n v="42841"/>
    <x v="7"/>
    <x v="3"/>
    <s v="SustainabilityDrive"/>
  </r>
  <r>
    <s v="P009"/>
    <x v="3"/>
    <s v="2024-08-30"/>
    <x v="1"/>
    <s v="Check out our latest text on facebook!"/>
    <n v="3784"/>
    <n v="808"/>
    <n v="404"/>
    <n v="56760"/>
    <n v="56343"/>
    <x v="8"/>
    <x v="2"/>
    <s v="ModelYCampaign"/>
  </r>
  <r>
    <s v="P010"/>
    <x v="3"/>
    <s v="2025-03-11"/>
    <x v="4"/>
    <s v="Check out our latest image on facebook!"/>
    <n v="4241"/>
    <n v="902"/>
    <n v="47"/>
    <n v="72097"/>
    <n v="71598"/>
    <x v="9"/>
    <x v="2"/>
    <s v="ModelYCampaign"/>
  </r>
  <r>
    <s v="P011"/>
    <x v="2"/>
    <s v="2025-02-02"/>
    <x v="2"/>
    <s v="Check out our latest story on instagram!"/>
    <n v="1792"/>
    <n v="614"/>
    <n v="497"/>
    <n v="25088"/>
    <n v="24675"/>
    <x v="10"/>
    <x v="5"/>
    <s v="SustainabilityDrive"/>
  </r>
  <r>
    <s v="P012"/>
    <x v="3"/>
    <s v="2024-07-21"/>
    <x v="0"/>
    <s v="Check out our latest reel on facebook!"/>
    <n v="1946"/>
    <n v="686"/>
    <n v="377"/>
    <n v="23352"/>
    <n v="22982"/>
    <x v="11"/>
    <x v="5"/>
    <s v="FSDUpdate"/>
  </r>
  <r>
    <s v="P013"/>
    <x v="1"/>
    <s v="2024-11-18"/>
    <x v="3"/>
    <s v="Check out our latest carousel on youtube!"/>
    <n v="1171"/>
    <n v="286"/>
    <n v="231"/>
    <n v="22249"/>
    <n v="21282"/>
    <x v="12"/>
    <x v="3"/>
    <s v="CybertruckLaunch"/>
  </r>
  <r>
    <s v="P014"/>
    <x v="3"/>
    <s v="2025-02-16"/>
    <x v="2"/>
    <s v="Check out our latest story on facebook!"/>
    <n v="4242"/>
    <n v="555"/>
    <n v="131"/>
    <n v="33936"/>
    <n v="33802"/>
    <x v="13"/>
    <x v="5"/>
    <m/>
  </r>
  <r>
    <s v="P015"/>
    <x v="3"/>
    <s v="2024-10-24"/>
    <x v="5"/>
    <s v="Check out our latest video on facebook!"/>
    <n v="3888"/>
    <n v="604"/>
    <n v="128"/>
    <n v="77760"/>
    <n v="77167"/>
    <x v="14"/>
    <x v="5"/>
    <s v="CybertruckLaunch"/>
  </r>
  <r>
    <s v="P016"/>
    <x v="3"/>
    <s v="2024-08-26"/>
    <x v="1"/>
    <s v="Check out our latest text on facebook!"/>
    <n v="3452"/>
    <n v="377"/>
    <n v="360"/>
    <n v="55232"/>
    <n v="55075"/>
    <x v="15"/>
    <x v="5"/>
    <s v="FSDUpdate"/>
  </r>
  <r>
    <s v="P017"/>
    <x v="3"/>
    <s v="2025-05-05"/>
    <x v="1"/>
    <s v="Check out our latest text on facebook!"/>
    <n v="4441"/>
    <n v="511"/>
    <n v="70"/>
    <n v="53292"/>
    <n v="53082"/>
    <x v="16"/>
    <x v="3"/>
    <s v="SustainabilityDrive"/>
  </r>
  <r>
    <s v="P018"/>
    <x v="2"/>
    <s v="2024-08-19"/>
    <x v="0"/>
    <s v="Check out our latest reel on instagram!"/>
    <n v="3000"/>
    <n v="382"/>
    <n v="325"/>
    <n v="36000"/>
    <n v="35819"/>
    <x v="17"/>
    <x v="5"/>
    <s v="CybertruckLaunch"/>
  </r>
  <r>
    <s v="P019"/>
    <x v="2"/>
    <s v="2024-06-23"/>
    <x v="5"/>
    <s v="Check out our latest video on instagram!"/>
    <n v="1071"/>
    <n v="519"/>
    <n v="22"/>
    <n v="16065"/>
    <n v="15865"/>
    <x v="18"/>
    <x v="2"/>
    <s v="SustainabilityDrive"/>
  </r>
  <r>
    <s v="P020"/>
    <x v="2"/>
    <s v="2024-09-09"/>
    <x v="3"/>
    <s v="Check out our latest carousel on instagram!"/>
    <n v="4054"/>
    <n v="488"/>
    <n v="373"/>
    <n v="77026"/>
    <n v="76881"/>
    <x v="19"/>
    <x v="2"/>
    <s v="CybertruckLaunch"/>
  </r>
  <r>
    <s v="P021"/>
    <x v="2"/>
    <s v="2025-01-04"/>
    <x v="0"/>
    <s v="Check out our latest reel on instagram!"/>
    <n v="4838"/>
    <n v="640"/>
    <n v="128"/>
    <n v="72570"/>
    <n v="72396"/>
    <x v="20"/>
    <x v="5"/>
    <s v="SustainabilityDrive"/>
  </r>
  <r>
    <s v="P022"/>
    <x v="3"/>
    <s v="2025-02-27"/>
    <x v="1"/>
    <s v="Check out our latest text on facebook!"/>
    <n v="1570"/>
    <n v="187"/>
    <n v="260"/>
    <n v="25120"/>
    <n v="24613"/>
    <x v="21"/>
    <x v="2"/>
    <s v="SustainabilityDrive"/>
  </r>
  <r>
    <s v="P023"/>
    <x v="3"/>
    <s v="2024-11-06"/>
    <x v="5"/>
    <s v="Check out our latest video on facebook!"/>
    <n v="1606"/>
    <n v="547"/>
    <n v="316"/>
    <n v="32120"/>
    <n v="31736"/>
    <x v="22"/>
    <x v="6"/>
    <s v="ModelYCampaign"/>
  </r>
  <r>
    <s v="P024"/>
    <x v="3"/>
    <s v="2025-01-23"/>
    <x v="5"/>
    <s v="Check out our latest video on facebook!"/>
    <n v="3961"/>
    <n v="761"/>
    <n v="131"/>
    <n v="67337"/>
    <n v="66615"/>
    <x v="23"/>
    <x v="5"/>
    <s v="FSDUpdate"/>
  </r>
  <r>
    <s v="P025"/>
    <x v="0"/>
    <s v="2025-04-10"/>
    <x v="3"/>
    <s v="Check out our latest carousel on twitter!"/>
    <n v="3128"/>
    <n v="211"/>
    <n v="197"/>
    <n v="59432"/>
    <n v="59182"/>
    <x v="24"/>
    <x v="3"/>
    <m/>
  </r>
  <r>
    <s v="P026"/>
    <x v="1"/>
    <s v="2025-04-05"/>
    <x v="0"/>
    <s v="Check out our latest reel on youtube!"/>
    <n v="3009"/>
    <n v="413"/>
    <n v="358"/>
    <n v="42126"/>
    <n v="41309"/>
    <x v="25"/>
    <x v="5"/>
    <s v="ModelYCampaign"/>
  </r>
  <r>
    <s v="P027"/>
    <x v="1"/>
    <s v="2024-09-17"/>
    <x v="1"/>
    <s v="Check out our latest text on youtube!"/>
    <n v="2076"/>
    <n v="195"/>
    <n v="104"/>
    <n v="33216"/>
    <n v="32244"/>
    <x v="26"/>
    <x v="5"/>
    <s v="SustainabilityDrive"/>
  </r>
  <r>
    <s v="P028"/>
    <x v="2"/>
    <s v="2025-03-04"/>
    <x v="5"/>
    <s v="Check out our latest video on instagram!"/>
    <n v="432"/>
    <n v="624"/>
    <n v="123"/>
    <n v="6912"/>
    <n v="6259"/>
    <x v="27"/>
    <x v="5"/>
    <s v="SustainabilityDrive"/>
  </r>
  <r>
    <s v="P029"/>
    <x v="2"/>
    <s v="2025-01-31"/>
    <x v="3"/>
    <s v="Check out our latest carousel on instagram!"/>
    <n v="2566"/>
    <n v="118"/>
    <n v="37"/>
    <n v="12830"/>
    <n v="12264"/>
    <x v="28"/>
    <x v="5"/>
    <s v="FSDUpdate"/>
  </r>
  <r>
    <s v="P030"/>
    <x v="2"/>
    <s v="2025-02-25"/>
    <x v="5"/>
    <s v="Check out our latest video on instagram!"/>
    <n v="3095"/>
    <n v="39"/>
    <n v="78"/>
    <n v="55710"/>
    <n v="54808"/>
    <x v="29"/>
    <x v="3"/>
    <m/>
  </r>
  <r>
    <s v="P031"/>
    <x v="2"/>
    <s v="2024-12-16"/>
    <x v="1"/>
    <s v="Check out our latest text on instagram!"/>
    <n v="438"/>
    <n v="153"/>
    <n v="275"/>
    <n v="3066"/>
    <n v="2701"/>
    <x v="30"/>
    <x v="2"/>
    <s v="ModelYCampaign"/>
  </r>
  <r>
    <s v="P032"/>
    <x v="0"/>
    <s v="2024-07-31"/>
    <x v="3"/>
    <s v="Check out our latest carousel on twitter!"/>
    <n v="2278"/>
    <n v="10"/>
    <n v="321"/>
    <n v="13668"/>
    <n v="12676"/>
    <x v="31"/>
    <x v="3"/>
    <s v="CybertruckLaunch"/>
  </r>
  <r>
    <s v="P033"/>
    <x v="3"/>
    <s v="2024-08-21"/>
    <x v="4"/>
    <s v="Check out our latest image on facebook!"/>
    <n v="1407"/>
    <n v="400"/>
    <n v="351"/>
    <n v="16884"/>
    <n v="15954"/>
    <x v="32"/>
    <x v="2"/>
    <s v="CybertruckLaunch"/>
  </r>
  <r>
    <s v="P034"/>
    <x v="3"/>
    <s v="2025-03-26"/>
    <x v="1"/>
    <s v="Check out our latest text on facebook!"/>
    <n v="1652"/>
    <n v="89"/>
    <n v="357"/>
    <n v="29736"/>
    <n v="28771"/>
    <x v="33"/>
    <x v="2"/>
    <s v="FSDUpdate"/>
  </r>
  <r>
    <s v="P035"/>
    <x v="2"/>
    <s v="2024-11-30"/>
    <x v="5"/>
    <s v="Check out our latest video on instagram!"/>
    <n v="3775"/>
    <n v="16"/>
    <n v="239"/>
    <n v="33975"/>
    <n v="33310"/>
    <x v="34"/>
    <x v="5"/>
    <s v="ModelYCampaign"/>
  </r>
  <r>
    <s v="P036"/>
    <x v="2"/>
    <s v="2025-04-19"/>
    <x v="2"/>
    <s v="Check out our latest story on instagram!"/>
    <n v="4518"/>
    <n v="285"/>
    <n v="383"/>
    <n v="67770"/>
    <n v="67621"/>
    <x v="35"/>
    <x v="3"/>
    <s v="ModelYCampaign"/>
  </r>
  <r>
    <s v="P037"/>
    <x v="3"/>
    <s v="2025-01-06"/>
    <x v="3"/>
    <s v="Check out our latest carousel on facebook!"/>
    <n v="3024"/>
    <n v="925"/>
    <n v="350"/>
    <n v="24192"/>
    <n v="23518"/>
    <x v="36"/>
    <x v="3"/>
    <s v="ModelYCampaign"/>
  </r>
  <r>
    <s v="P038"/>
    <x v="1"/>
    <s v="2025-02-17"/>
    <x v="0"/>
    <s v="Check out our latest reel on youtube!"/>
    <n v="3138"/>
    <n v="123"/>
    <n v="291"/>
    <n v="28242"/>
    <n v="27550"/>
    <x v="15"/>
    <x v="2"/>
    <s v="SustainabilityDrive"/>
  </r>
  <r>
    <s v="P039"/>
    <x v="3"/>
    <s v="2024-11-25"/>
    <x v="4"/>
    <s v="Check out our latest image on facebook!"/>
    <n v="3564"/>
    <n v="629"/>
    <n v="177"/>
    <n v="60588"/>
    <n v="59627"/>
    <x v="37"/>
    <x v="2"/>
    <m/>
  </r>
  <r>
    <s v="P040"/>
    <x v="0"/>
    <s v="2025-03-07"/>
    <x v="4"/>
    <s v="Check out our latest image on twitter!"/>
    <n v="4750"/>
    <n v="151"/>
    <n v="415"/>
    <n v="38000"/>
    <n v="37792"/>
    <x v="38"/>
    <x v="3"/>
    <s v="SustainabilityDrive"/>
  </r>
  <r>
    <s v="P041"/>
    <x v="2"/>
    <s v="2025-03-08"/>
    <x v="0"/>
    <s v="Check out our latest reel on instagram!"/>
    <n v="456"/>
    <n v="629"/>
    <n v="428"/>
    <n v="8208"/>
    <n v="7377"/>
    <x v="39"/>
    <x v="5"/>
    <s v="SustainabilityDrive"/>
  </r>
  <r>
    <s v="P042"/>
    <x v="1"/>
    <s v="2025-03-05"/>
    <x v="0"/>
    <s v="Check out our latest reel on youtube!"/>
    <n v="1543"/>
    <n v="820"/>
    <n v="333"/>
    <n v="12344"/>
    <n v="11496"/>
    <x v="40"/>
    <x v="3"/>
    <m/>
  </r>
  <r>
    <s v="P043"/>
    <x v="2"/>
    <s v="2024-12-14"/>
    <x v="3"/>
    <s v="Check out our latest carousel on instagram!"/>
    <n v="2174"/>
    <n v="658"/>
    <n v="15"/>
    <n v="13044"/>
    <n v="12206"/>
    <x v="41"/>
    <x v="2"/>
    <s v="FSDUpdate"/>
  </r>
  <r>
    <s v="P044"/>
    <x v="0"/>
    <s v="2025-03-02"/>
    <x v="4"/>
    <s v="Check out our latest image on twitter!"/>
    <n v="2358"/>
    <n v="784"/>
    <n v="344"/>
    <n v="35370"/>
    <n v="34475"/>
    <x v="42"/>
    <x v="2"/>
    <m/>
  </r>
  <r>
    <s v="P045"/>
    <x v="3"/>
    <s v="2024-11-01"/>
    <x v="5"/>
    <s v="Check out our latest video on facebook!"/>
    <n v="3371"/>
    <n v="106"/>
    <n v="327"/>
    <n v="50565"/>
    <n v="49816"/>
    <x v="43"/>
    <x v="5"/>
    <s v="CybertruckLaunch"/>
  </r>
  <r>
    <s v="P046"/>
    <x v="0"/>
    <s v="2025-05-02"/>
    <x v="5"/>
    <s v="Check out our latest video on twitter!"/>
    <n v="1108"/>
    <n v="177"/>
    <n v="212"/>
    <n v="8864"/>
    <n v="8710"/>
    <x v="44"/>
    <x v="2"/>
    <s v="SustainabilityDrive"/>
  </r>
  <r>
    <s v="P047"/>
    <x v="0"/>
    <s v="2025-02-24"/>
    <x v="3"/>
    <s v="Check out our latest carousel on twitter!"/>
    <n v="2704"/>
    <n v="752"/>
    <n v="153"/>
    <n v="21632"/>
    <n v="20792"/>
    <x v="45"/>
    <x v="5"/>
    <m/>
  </r>
  <r>
    <s v="P048"/>
    <x v="0"/>
    <s v="2025-03-11"/>
    <x v="2"/>
    <s v="Check out our latest story on twitter!"/>
    <n v="1950"/>
    <n v="295"/>
    <n v="478"/>
    <n v="37050"/>
    <n v="36272"/>
    <x v="46"/>
    <x v="2"/>
    <m/>
  </r>
  <r>
    <s v="P049"/>
    <x v="0"/>
    <s v="2024-06-10"/>
    <x v="2"/>
    <s v="Check out our latest story on twitter!"/>
    <n v="2164"/>
    <n v="549"/>
    <n v="274"/>
    <n v="28132"/>
    <n v="27361"/>
    <x v="47"/>
    <x v="2"/>
    <s v="SustainabilityDrive"/>
  </r>
  <r>
    <s v="P050"/>
    <x v="1"/>
    <s v="2024-07-03"/>
    <x v="2"/>
    <s v="Check out our latest story on youtube!"/>
    <n v="2754"/>
    <n v="130"/>
    <n v="90"/>
    <n v="22032"/>
    <n v="21288"/>
    <x v="48"/>
    <x v="2"/>
    <s v="FSDUpdate"/>
  </r>
  <r>
    <s v="P051"/>
    <x v="3"/>
    <s v="2024-06-13"/>
    <x v="3"/>
    <s v="Check out our latest carousel on facebook!"/>
    <n v="2200"/>
    <n v="504"/>
    <n v="239"/>
    <n v="37400"/>
    <n v="36938"/>
    <x v="22"/>
    <x v="5"/>
    <s v="ModelYCampaign"/>
  </r>
  <r>
    <s v="P052"/>
    <x v="3"/>
    <s v="2025-01-03"/>
    <x v="4"/>
    <s v="Check out our latest image on facebook!"/>
    <n v="947"/>
    <n v="338"/>
    <n v="350"/>
    <n v="10417"/>
    <n v="9730"/>
    <x v="49"/>
    <x v="2"/>
    <s v="SustainabilityDrive"/>
  </r>
  <r>
    <s v="P053"/>
    <x v="1"/>
    <s v="2025-02-24"/>
    <x v="3"/>
    <s v="Check out our latest carousel on youtube!"/>
    <n v="804"/>
    <n v="639"/>
    <n v="43"/>
    <n v="4020"/>
    <n v="3144"/>
    <x v="50"/>
    <x v="7"/>
    <m/>
  </r>
  <r>
    <s v="P054"/>
    <x v="1"/>
    <s v="2025-03-13"/>
    <x v="3"/>
    <s v="Check out our latest carousel on youtube!"/>
    <n v="1686"/>
    <n v="904"/>
    <n v="472"/>
    <n v="18546"/>
    <n v="18171"/>
    <x v="51"/>
    <x v="5"/>
    <s v="ModelYCampaign"/>
  </r>
  <r>
    <s v="P055"/>
    <x v="3"/>
    <s v="2024-06-17"/>
    <x v="4"/>
    <s v="Check out our latest image on facebook!"/>
    <n v="1226"/>
    <n v="119"/>
    <n v="7"/>
    <n v="14712"/>
    <n v="14049"/>
    <x v="52"/>
    <x v="3"/>
    <s v="SustainabilityDrive"/>
  </r>
  <r>
    <s v="P056"/>
    <x v="3"/>
    <s v="2024-12-18"/>
    <x v="3"/>
    <s v="Check out our latest carousel on facebook!"/>
    <n v="2946"/>
    <n v="498"/>
    <n v="367"/>
    <n v="29460"/>
    <n v="28527"/>
    <x v="53"/>
    <x v="5"/>
    <s v="FSDUpdate"/>
  </r>
  <r>
    <s v="P057"/>
    <x v="0"/>
    <s v="2024-10-21"/>
    <x v="5"/>
    <s v="Check out our latest video on twitter!"/>
    <n v="2825"/>
    <n v="535"/>
    <n v="295"/>
    <n v="45200"/>
    <n v="44739"/>
    <x v="54"/>
    <x v="2"/>
    <s v="CybertruckLaunch"/>
  </r>
  <r>
    <s v="P058"/>
    <x v="2"/>
    <s v="2025-04-15"/>
    <x v="0"/>
    <s v="Check out our latest reel on instagram!"/>
    <n v="103"/>
    <n v="770"/>
    <n v="19"/>
    <n v="1030"/>
    <n v="410"/>
    <x v="55"/>
    <x v="2"/>
    <s v="SustainabilityDrive"/>
  </r>
  <r>
    <s v="P059"/>
    <x v="2"/>
    <s v="2024-06-22"/>
    <x v="1"/>
    <s v="Check out our latest text on instagram!"/>
    <n v="2180"/>
    <n v="263"/>
    <n v="387"/>
    <n v="30520"/>
    <n v="30059"/>
    <x v="56"/>
    <x v="3"/>
    <m/>
  </r>
  <r>
    <s v="P060"/>
    <x v="2"/>
    <s v="2025-01-28"/>
    <x v="5"/>
    <s v="Check out our latest video on instagram!"/>
    <n v="904"/>
    <n v="973"/>
    <n v="63"/>
    <n v="11752"/>
    <n v="11580"/>
    <x v="57"/>
    <x v="8"/>
    <s v="FSDUpdate"/>
  </r>
  <r>
    <s v="P061"/>
    <x v="0"/>
    <s v="2024-09-05"/>
    <x v="5"/>
    <s v="Check out our latest video on twitter!"/>
    <n v="4886"/>
    <n v="983"/>
    <n v="409"/>
    <n v="43974"/>
    <n v="43239"/>
    <x v="10"/>
    <x v="2"/>
    <s v="CybertruckLaunch"/>
  </r>
  <r>
    <s v="P062"/>
    <x v="0"/>
    <s v="2024-11-22"/>
    <x v="3"/>
    <s v="Check out our latest carousel on twitter!"/>
    <n v="53"/>
    <n v="81"/>
    <n v="379"/>
    <n v="954"/>
    <n v="7"/>
    <x v="58"/>
    <x v="2"/>
    <s v="FSDUpdate"/>
  </r>
  <r>
    <s v="P063"/>
    <x v="0"/>
    <s v="2024-07-31"/>
    <x v="3"/>
    <s v="Check out our latest carousel on twitter!"/>
    <n v="4507"/>
    <n v="217"/>
    <n v="13"/>
    <n v="90140"/>
    <n v="89591"/>
    <x v="59"/>
    <x v="5"/>
    <s v="FSDUpdate"/>
  </r>
  <r>
    <s v="P064"/>
    <x v="3"/>
    <s v="2024-08-17"/>
    <x v="4"/>
    <s v="Check out our latest image on facebook!"/>
    <n v="2878"/>
    <n v="248"/>
    <n v="416"/>
    <n v="43170"/>
    <n v="42667"/>
    <x v="60"/>
    <x v="5"/>
    <s v="FSDUpdate"/>
  </r>
  <r>
    <s v="P065"/>
    <x v="2"/>
    <s v="2025-03-28"/>
    <x v="2"/>
    <s v="Check out our latest story on instagram!"/>
    <n v="1881"/>
    <n v="501"/>
    <n v="99"/>
    <n v="20691"/>
    <n v="19987"/>
    <x v="61"/>
    <x v="3"/>
    <m/>
  </r>
  <r>
    <s v="P066"/>
    <x v="0"/>
    <s v="2024-07-26"/>
    <x v="3"/>
    <s v="Check out our latest carousel on twitter!"/>
    <n v="432"/>
    <n v="171"/>
    <n v="280"/>
    <n v="3024"/>
    <n v="2285"/>
    <x v="62"/>
    <x v="3"/>
    <s v="CybertruckLaunch"/>
  </r>
  <r>
    <s v="P067"/>
    <x v="3"/>
    <s v="2025-03-29"/>
    <x v="3"/>
    <s v="Check out our latest carousel on facebook!"/>
    <n v="4712"/>
    <n v="568"/>
    <n v="127"/>
    <n v="84816"/>
    <n v="84691"/>
    <x v="63"/>
    <x v="3"/>
    <s v="FSDUpdate"/>
  </r>
  <r>
    <s v="P068"/>
    <x v="2"/>
    <s v="2024-12-08"/>
    <x v="2"/>
    <s v="Check out our latest story on instagram!"/>
    <n v="2610"/>
    <n v="126"/>
    <n v="288"/>
    <n v="15660"/>
    <n v="15145"/>
    <x v="64"/>
    <x v="3"/>
    <m/>
  </r>
  <r>
    <s v="P069"/>
    <x v="0"/>
    <s v="2025-03-08"/>
    <x v="1"/>
    <s v="Check out our latest text on twitter!"/>
    <n v="1292"/>
    <n v="626"/>
    <n v="496"/>
    <n v="25840"/>
    <n v="24916"/>
    <x v="65"/>
    <x v="5"/>
    <s v="FSDUpdate"/>
  </r>
  <r>
    <s v="P070"/>
    <x v="3"/>
    <s v="2025-04-02"/>
    <x v="5"/>
    <s v="Check out our latest video on facebook!"/>
    <n v="199"/>
    <n v="772"/>
    <n v="400"/>
    <n v="3582"/>
    <n v="2988"/>
    <x v="66"/>
    <x v="2"/>
    <m/>
  </r>
  <r>
    <s v="P071"/>
    <x v="1"/>
    <s v="2024-09-02"/>
    <x v="3"/>
    <s v="Check out our latest carousel on youtube!"/>
    <n v="2551"/>
    <n v="915"/>
    <n v="205"/>
    <n v="30612"/>
    <n v="30360"/>
    <x v="67"/>
    <x v="2"/>
    <s v="ModelYCampaign"/>
  </r>
  <r>
    <s v="P072"/>
    <x v="1"/>
    <s v="2025-03-03"/>
    <x v="0"/>
    <s v="Check out our latest reel on youtube!"/>
    <n v="296"/>
    <n v="60"/>
    <n v="141"/>
    <n v="5624"/>
    <n v="5239"/>
    <x v="68"/>
    <x v="3"/>
    <s v="ModelYCampaign"/>
  </r>
  <r>
    <s v="P073"/>
    <x v="3"/>
    <s v="2024-10-18"/>
    <x v="2"/>
    <s v="Check out our latest story on facebook!"/>
    <n v="4126"/>
    <n v="426"/>
    <n v="486"/>
    <n v="78394"/>
    <n v="77798"/>
    <x v="68"/>
    <x v="5"/>
    <s v="SustainabilityDrive"/>
  </r>
  <r>
    <s v="P074"/>
    <x v="1"/>
    <s v="2024-10-28"/>
    <x v="0"/>
    <s v="Check out our latest reel on youtube!"/>
    <n v="1855"/>
    <n v="200"/>
    <n v="174"/>
    <n v="16695"/>
    <n v="16330"/>
    <x v="52"/>
    <x v="2"/>
    <s v="FSDUpdate"/>
  </r>
  <r>
    <s v="P075"/>
    <x v="2"/>
    <s v="2024-08-01"/>
    <x v="0"/>
    <s v="Check out our latest reel on instagram!"/>
    <n v="1674"/>
    <n v="929"/>
    <n v="37"/>
    <n v="21762"/>
    <n v="20998"/>
    <x v="69"/>
    <x v="2"/>
    <s v="SustainabilityDrive"/>
  </r>
  <r>
    <s v="P076"/>
    <x v="0"/>
    <s v="2024-11-07"/>
    <x v="2"/>
    <s v="Check out our latest story on twitter!"/>
    <n v="1121"/>
    <n v="135"/>
    <n v="18"/>
    <n v="15694"/>
    <n v="14957"/>
    <x v="70"/>
    <x v="2"/>
    <s v="SustainabilityDrive"/>
  </r>
  <r>
    <s v="P077"/>
    <x v="3"/>
    <s v="2025-03-04"/>
    <x v="2"/>
    <s v="Check out our latest story on facebook!"/>
    <n v="1249"/>
    <n v="116"/>
    <n v="420"/>
    <n v="8743"/>
    <n v="8538"/>
    <x v="71"/>
    <x v="2"/>
    <m/>
  </r>
  <r>
    <s v="P078"/>
    <x v="0"/>
    <s v="2024-06-17"/>
    <x v="4"/>
    <s v="Check out our latest image on twitter!"/>
    <n v="954"/>
    <n v="324"/>
    <n v="288"/>
    <n v="19080"/>
    <n v="18859"/>
    <x v="72"/>
    <x v="5"/>
    <s v="SustainabilityDrive"/>
  </r>
  <r>
    <s v="P079"/>
    <x v="2"/>
    <s v="2024-10-09"/>
    <x v="3"/>
    <s v="Check out our latest carousel on instagram!"/>
    <n v="3068"/>
    <n v="137"/>
    <n v="329"/>
    <n v="39884"/>
    <n v="39404"/>
    <x v="73"/>
    <x v="3"/>
    <s v="ModelYCampaign"/>
  </r>
  <r>
    <s v="P080"/>
    <x v="2"/>
    <s v="2024-06-13"/>
    <x v="2"/>
    <s v="Check out our latest story on instagram!"/>
    <n v="2103"/>
    <n v="892"/>
    <n v="103"/>
    <n v="39957"/>
    <n v="39466"/>
    <x v="74"/>
    <x v="5"/>
    <m/>
  </r>
  <r>
    <s v="P081"/>
    <x v="2"/>
    <s v="2024-10-19"/>
    <x v="2"/>
    <s v="Check out our latest story on instagram!"/>
    <n v="1816"/>
    <n v="29"/>
    <n v="41"/>
    <n v="19976"/>
    <n v="19262"/>
    <x v="75"/>
    <x v="2"/>
    <s v="FSDUpdate"/>
  </r>
  <r>
    <s v="P082"/>
    <x v="2"/>
    <s v="2024-07-24"/>
    <x v="4"/>
    <s v="Check out our latest image on instagram!"/>
    <n v="725"/>
    <n v="88"/>
    <n v="428"/>
    <n v="14500"/>
    <n v="13637"/>
    <x v="76"/>
    <x v="9"/>
    <s v="FSDUpdate"/>
  </r>
  <r>
    <s v="P083"/>
    <x v="1"/>
    <s v="2024-10-15"/>
    <x v="5"/>
    <s v="Check out our latest video on youtube!"/>
    <n v="1094"/>
    <n v="472"/>
    <n v="21"/>
    <n v="9846"/>
    <n v="9609"/>
    <x v="48"/>
    <x v="3"/>
    <m/>
  </r>
  <r>
    <s v="P084"/>
    <x v="3"/>
    <s v="2024-12-09"/>
    <x v="4"/>
    <s v="Check out our latest image on facebook!"/>
    <n v="1841"/>
    <n v="851"/>
    <n v="342"/>
    <n v="34979"/>
    <n v="34154"/>
    <x v="69"/>
    <x v="5"/>
    <s v="SustainabilityDrive"/>
  </r>
  <r>
    <s v="P085"/>
    <x v="2"/>
    <s v="2025-04-19"/>
    <x v="4"/>
    <s v="Check out our latest image on instagram!"/>
    <n v="4177"/>
    <n v="569"/>
    <n v="55"/>
    <n v="25062"/>
    <n v="24847"/>
    <x v="77"/>
    <x v="5"/>
    <s v="CybertruckLaunch"/>
  </r>
  <r>
    <s v="P086"/>
    <x v="1"/>
    <s v="2025-01-27"/>
    <x v="1"/>
    <s v="Check out our latest text on youtube!"/>
    <n v="3428"/>
    <n v="305"/>
    <n v="85"/>
    <n v="58276"/>
    <n v="58052"/>
    <x v="78"/>
    <x v="7"/>
    <s v="SustainabilityDrive"/>
  </r>
  <r>
    <s v="P087"/>
    <x v="0"/>
    <s v="2024-06-06"/>
    <x v="5"/>
    <s v="Check out our latest video on twitter!"/>
    <n v="1436"/>
    <n v="765"/>
    <n v="496"/>
    <n v="12924"/>
    <n v="12701"/>
    <x v="79"/>
    <x v="5"/>
    <s v="FSDUpdate"/>
  </r>
  <r>
    <s v="P088"/>
    <x v="3"/>
    <s v="2024-07-07"/>
    <x v="2"/>
    <s v="Check out our latest story on facebook!"/>
    <n v="302"/>
    <n v="47"/>
    <n v="430"/>
    <n v="5738"/>
    <n v="4890"/>
    <x v="19"/>
    <x v="2"/>
    <s v="SustainabilityDrive"/>
  </r>
  <r>
    <s v="P089"/>
    <x v="0"/>
    <s v="2025-01-10"/>
    <x v="4"/>
    <s v="Check out our latest image on twitter!"/>
    <n v="2214"/>
    <n v="249"/>
    <n v="152"/>
    <n v="15498"/>
    <n v="14800"/>
    <x v="80"/>
    <x v="3"/>
    <m/>
  </r>
  <r>
    <s v="P090"/>
    <x v="2"/>
    <s v="2024-06-03"/>
    <x v="4"/>
    <s v="Check out our latest image on instagram!"/>
    <n v="3861"/>
    <n v="960"/>
    <n v="101"/>
    <n v="69498"/>
    <n v="68817"/>
    <x v="81"/>
    <x v="2"/>
    <s v="SustainabilityDrive"/>
  </r>
  <r>
    <s v="P091"/>
    <x v="3"/>
    <s v="2025-03-24"/>
    <x v="4"/>
    <s v="Check out our latest image on facebook!"/>
    <n v="1263"/>
    <n v="397"/>
    <n v="357"/>
    <n v="25260"/>
    <n v="24615"/>
    <x v="41"/>
    <x v="3"/>
    <s v="SustainabilityDrive"/>
  </r>
  <r>
    <s v="P092"/>
    <x v="0"/>
    <s v="2024-10-21"/>
    <x v="2"/>
    <s v="Check out our latest story on twitter!"/>
    <n v="3801"/>
    <n v="967"/>
    <n v="401"/>
    <n v="38010"/>
    <n v="37625"/>
    <x v="82"/>
    <x v="5"/>
    <s v="FSDUpdate"/>
  </r>
  <r>
    <s v="P093"/>
    <x v="2"/>
    <s v="2024-12-11"/>
    <x v="5"/>
    <s v="Check out our latest video on instagram!"/>
    <n v="1431"/>
    <n v="951"/>
    <n v="26"/>
    <n v="8586"/>
    <n v="8396"/>
    <x v="83"/>
    <x v="3"/>
    <s v="FSDUpdate"/>
  </r>
  <r>
    <s v="P094"/>
    <x v="2"/>
    <s v="2024-11-07"/>
    <x v="4"/>
    <s v="Check out our latest image on instagram!"/>
    <n v="2647"/>
    <n v="304"/>
    <n v="170"/>
    <n v="18529"/>
    <n v="17841"/>
    <x v="84"/>
    <x v="5"/>
    <s v="FSDUpdate"/>
  </r>
  <r>
    <s v="P095"/>
    <x v="2"/>
    <s v="2024-11-08"/>
    <x v="1"/>
    <s v="Check out our latest text on instagram!"/>
    <n v="3182"/>
    <n v="559"/>
    <n v="160"/>
    <n v="57276"/>
    <n v="56890"/>
    <x v="85"/>
    <x v="5"/>
    <s v="SustainabilityDrive"/>
  </r>
  <r>
    <s v="P096"/>
    <x v="0"/>
    <s v="2024-09-10"/>
    <x v="4"/>
    <s v="Check out our latest image on twitter!"/>
    <n v="1238"/>
    <n v="366"/>
    <n v="444"/>
    <n v="19808"/>
    <n v="19334"/>
    <x v="52"/>
    <x v="5"/>
    <m/>
  </r>
  <r>
    <s v="P097"/>
    <x v="2"/>
    <s v="2024-08-13"/>
    <x v="4"/>
    <s v="Check out our latest image on instagram!"/>
    <n v="4739"/>
    <n v="527"/>
    <n v="135"/>
    <n v="61607"/>
    <n v="61333"/>
    <x v="36"/>
    <x v="6"/>
    <s v="ModelYCampaign"/>
  </r>
  <r>
    <s v="P098"/>
    <x v="0"/>
    <s v="2024-06-10"/>
    <x v="2"/>
    <s v="Check out our latest story on twitter!"/>
    <n v="1575"/>
    <n v="771"/>
    <n v="486"/>
    <n v="25200"/>
    <n v="24826"/>
    <x v="86"/>
    <x v="5"/>
    <s v="SustainabilityDrive"/>
  </r>
  <r>
    <s v="P099"/>
    <x v="1"/>
    <s v="2024-07-02"/>
    <x v="3"/>
    <s v="Check out our latest carousel on youtube!"/>
    <n v="4171"/>
    <n v="548"/>
    <n v="86"/>
    <n v="66736"/>
    <n v="66634"/>
    <x v="87"/>
    <x v="5"/>
    <s v="FSDUpdate"/>
  </r>
  <r>
    <s v="P100"/>
    <x v="1"/>
    <s v="2025-02-10"/>
    <x v="5"/>
    <s v="Check out our latest video on youtube!"/>
    <n v="1766"/>
    <n v="92"/>
    <n v="424"/>
    <n v="24724"/>
    <n v="24333"/>
    <x v="51"/>
    <x v="3"/>
    <m/>
  </r>
  <r>
    <s v="P101"/>
    <x v="1"/>
    <s v="2024-10-18"/>
    <x v="5"/>
    <s v="Check out our latest video on youtube!"/>
    <n v="4450"/>
    <n v="983"/>
    <n v="143"/>
    <n v="75650"/>
    <n v="75008"/>
    <x v="88"/>
    <x v="5"/>
    <s v="FSDUpdate"/>
  </r>
  <r>
    <s v="P102"/>
    <x v="0"/>
    <s v="2024-09-18"/>
    <x v="0"/>
    <s v="Check out our latest reel on twitter!"/>
    <n v="1000"/>
    <n v="978"/>
    <n v="162"/>
    <n v="6000"/>
    <n v="5221"/>
    <x v="89"/>
    <x v="3"/>
    <s v="ModelYCampaign"/>
  </r>
  <r>
    <s v="P103"/>
    <x v="3"/>
    <s v="2024-06-11"/>
    <x v="4"/>
    <s v="Check out our latest image on facebook!"/>
    <n v="3689"/>
    <n v="48"/>
    <n v="306"/>
    <n v="40579"/>
    <n v="39588"/>
    <x v="90"/>
    <x v="3"/>
    <s v="ModelYCampaign"/>
  </r>
  <r>
    <s v="P104"/>
    <x v="1"/>
    <s v="2025-03-23"/>
    <x v="2"/>
    <s v="Check out our latest story on youtube!"/>
    <n v="3655"/>
    <n v="568"/>
    <n v="286"/>
    <n v="32895"/>
    <n v="32015"/>
    <x v="91"/>
    <x v="2"/>
    <s v="FSDUpdate"/>
  </r>
  <r>
    <s v="P105"/>
    <x v="2"/>
    <s v="2024-06-14"/>
    <x v="3"/>
    <s v="Check out our latest carousel on instagram!"/>
    <n v="498"/>
    <n v="38"/>
    <n v="42"/>
    <n v="4482"/>
    <n v="3647"/>
    <x v="92"/>
    <x v="5"/>
    <s v="CybertruckLaunch"/>
  </r>
  <r>
    <s v="P106"/>
    <x v="2"/>
    <s v="2025-02-04"/>
    <x v="4"/>
    <s v="Check out our latest image on instagram!"/>
    <n v="4619"/>
    <n v="821"/>
    <n v="499"/>
    <n v="69285"/>
    <n v="69141"/>
    <x v="93"/>
    <x v="2"/>
    <s v="SustainabilityDrive"/>
  </r>
  <r>
    <s v="P107"/>
    <x v="1"/>
    <s v="2024-06-21"/>
    <x v="4"/>
    <s v="Check out our latest image on youtube!"/>
    <n v="4832"/>
    <n v="893"/>
    <n v="10"/>
    <n v="91808"/>
    <n v="91296"/>
    <x v="94"/>
    <x v="2"/>
    <m/>
  </r>
  <r>
    <s v="P108"/>
    <x v="0"/>
    <s v="2025-03-25"/>
    <x v="5"/>
    <s v="Check out our latest video on twitter!"/>
    <n v="4050"/>
    <n v="871"/>
    <n v="347"/>
    <n v="52650"/>
    <n v="51755"/>
    <x v="95"/>
    <x v="2"/>
    <s v="ModelYCampaign"/>
  </r>
  <r>
    <s v="P109"/>
    <x v="0"/>
    <s v="2024-08-08"/>
    <x v="2"/>
    <s v="Check out our latest story on twitter!"/>
    <n v="3649"/>
    <n v="215"/>
    <n v="413"/>
    <n v="25543"/>
    <n v="24963"/>
    <x v="9"/>
    <x v="5"/>
    <s v="FSDUpdate"/>
  </r>
  <r>
    <s v="P110"/>
    <x v="2"/>
    <s v="2024-07-29"/>
    <x v="0"/>
    <s v="Check out our latest reel on instagram!"/>
    <n v="3523"/>
    <n v="753"/>
    <n v="482"/>
    <n v="38753"/>
    <n v="38579"/>
    <x v="96"/>
    <x v="3"/>
    <s v="ModelYCampaign"/>
  </r>
  <r>
    <s v="P111"/>
    <x v="1"/>
    <s v="2024-11-23"/>
    <x v="4"/>
    <s v="Check out our latest image on youtube!"/>
    <n v="2719"/>
    <n v="17"/>
    <n v="285"/>
    <n v="40785"/>
    <n v="40281"/>
    <x v="97"/>
    <x v="2"/>
    <s v="ModelYCampaign"/>
  </r>
  <r>
    <s v="P112"/>
    <x v="0"/>
    <s v="2024-10-05"/>
    <x v="2"/>
    <s v="Check out our latest story on twitter!"/>
    <n v="1957"/>
    <n v="877"/>
    <n v="238"/>
    <n v="17613"/>
    <n v="16865"/>
    <x v="81"/>
    <x v="5"/>
    <s v="FSDUpdate"/>
  </r>
  <r>
    <s v="P113"/>
    <x v="0"/>
    <s v="2024-10-02"/>
    <x v="3"/>
    <s v="Check out our latest carousel on twitter!"/>
    <n v="4419"/>
    <n v="236"/>
    <n v="369"/>
    <n v="44190"/>
    <n v="43582"/>
    <x v="98"/>
    <x v="3"/>
    <s v="CybertruckLaunch"/>
  </r>
  <r>
    <s v="P114"/>
    <x v="0"/>
    <s v="2024-11-14"/>
    <x v="2"/>
    <s v="Check out our latest story on twitter!"/>
    <n v="4000"/>
    <n v="689"/>
    <n v="488"/>
    <n v="40000"/>
    <n v="39569"/>
    <x v="99"/>
    <x v="5"/>
    <s v="CybertruckLaunch"/>
  </r>
  <r>
    <s v="P115"/>
    <x v="0"/>
    <s v="2025-05-11"/>
    <x v="4"/>
    <s v="Check out our latest image on twitter!"/>
    <n v="2493"/>
    <n v="97"/>
    <n v="44"/>
    <n v="42381"/>
    <n v="41991"/>
    <x v="78"/>
    <x v="6"/>
    <s v="SustainabilityDrive"/>
  </r>
  <r>
    <s v="P116"/>
    <x v="1"/>
    <s v="2025-03-18"/>
    <x v="0"/>
    <s v="Check out our latest reel on youtube!"/>
    <n v="3704"/>
    <n v="186"/>
    <n v="458"/>
    <n v="25928"/>
    <n v="25081"/>
    <x v="8"/>
    <x v="2"/>
    <m/>
  </r>
  <r>
    <s v="P117"/>
    <x v="0"/>
    <s v="2024-11-04"/>
    <x v="4"/>
    <s v="Check out our latest image on twitter!"/>
    <n v="1606"/>
    <n v="451"/>
    <n v="405"/>
    <n v="20878"/>
    <n v="20190"/>
    <x v="100"/>
    <x v="3"/>
    <s v="SustainabilityDrive"/>
  </r>
  <r>
    <s v="P118"/>
    <x v="3"/>
    <s v="2024-11-04"/>
    <x v="4"/>
    <s v="Check out our latest image on facebook!"/>
    <n v="4551"/>
    <n v="714"/>
    <n v="207"/>
    <n v="68265"/>
    <n v="67754"/>
    <x v="101"/>
    <x v="5"/>
    <s v="FSDUpdate"/>
  </r>
  <r>
    <s v="P119"/>
    <x v="2"/>
    <s v="2025-02-07"/>
    <x v="0"/>
    <s v="Check out our latest reel on instagram!"/>
    <n v="1970"/>
    <n v="675"/>
    <n v="478"/>
    <n v="9850"/>
    <n v="8924"/>
    <x v="1"/>
    <x v="5"/>
    <m/>
  </r>
  <r>
    <s v="P120"/>
    <x v="3"/>
    <s v="2024-10-21"/>
    <x v="2"/>
    <s v="Check out our latest story on facebook!"/>
    <n v="780"/>
    <n v="928"/>
    <n v="301"/>
    <n v="8580"/>
    <n v="8081"/>
    <x v="102"/>
    <x v="3"/>
    <s v="FSDUpdate"/>
  </r>
  <r>
    <s v="P121"/>
    <x v="2"/>
    <s v="2024-07-29"/>
    <x v="2"/>
    <s v="Check out our latest story on instagram!"/>
    <n v="498"/>
    <n v="701"/>
    <n v="412"/>
    <n v="4980"/>
    <n v="4185"/>
    <x v="103"/>
    <x v="5"/>
    <m/>
  </r>
  <r>
    <s v="P122"/>
    <x v="2"/>
    <s v="2024-10-02"/>
    <x v="1"/>
    <s v="Check out our latest text on instagram!"/>
    <n v="3432"/>
    <n v="869"/>
    <n v="123"/>
    <n v="54912"/>
    <n v="53916"/>
    <x v="104"/>
    <x v="3"/>
    <s v="ModelYCampaign"/>
  </r>
  <r>
    <s v="P123"/>
    <x v="2"/>
    <s v="2024-06-14"/>
    <x v="2"/>
    <s v="Check out our latest story on instagram!"/>
    <n v="4363"/>
    <n v="649"/>
    <n v="140"/>
    <n v="21815"/>
    <n v="21481"/>
    <x v="105"/>
    <x v="3"/>
    <s v="CybertruckLaunch"/>
  </r>
  <r>
    <s v="P124"/>
    <x v="1"/>
    <s v="2025-04-06"/>
    <x v="3"/>
    <s v="Check out our latest carousel on youtube!"/>
    <n v="736"/>
    <n v="771"/>
    <n v="225"/>
    <n v="5152"/>
    <n v="4706"/>
    <x v="17"/>
    <x v="3"/>
    <s v="CybertruckLaunch"/>
  </r>
  <r>
    <s v="P125"/>
    <x v="0"/>
    <s v="2024-09-08"/>
    <x v="3"/>
    <s v="Check out our latest carousel on twitter!"/>
    <n v="3811"/>
    <n v="866"/>
    <n v="216"/>
    <n v="34299"/>
    <n v="34088"/>
    <x v="106"/>
    <x v="2"/>
    <s v="SustainabilityDrive"/>
  </r>
  <r>
    <s v="P126"/>
    <x v="2"/>
    <s v="2025-03-28"/>
    <x v="3"/>
    <s v="Check out our latest carousel on instagram!"/>
    <n v="4158"/>
    <n v="167"/>
    <n v="241"/>
    <n v="45738"/>
    <n v="45183"/>
    <x v="107"/>
    <x v="5"/>
    <m/>
  </r>
  <r>
    <s v="P127"/>
    <x v="3"/>
    <s v="2025-01-27"/>
    <x v="0"/>
    <s v="Check out our latest reel on facebook!"/>
    <n v="3452"/>
    <n v="652"/>
    <n v="442"/>
    <n v="65588"/>
    <n v="65049"/>
    <x v="108"/>
    <x v="5"/>
    <s v="FSDUpdate"/>
  </r>
  <r>
    <s v="P128"/>
    <x v="0"/>
    <s v="2025-01-10"/>
    <x v="4"/>
    <s v="Check out our latest image on twitter!"/>
    <n v="3092"/>
    <n v="106"/>
    <n v="291"/>
    <n v="27828"/>
    <n v="27217"/>
    <x v="109"/>
    <x v="5"/>
    <m/>
  </r>
  <r>
    <s v="P129"/>
    <x v="0"/>
    <s v="2024-07-21"/>
    <x v="1"/>
    <s v="Check out our latest text on twitter!"/>
    <n v="2147"/>
    <n v="430"/>
    <n v="393"/>
    <n v="17176"/>
    <n v="16483"/>
    <x v="110"/>
    <x v="2"/>
    <m/>
  </r>
  <r>
    <s v="P130"/>
    <x v="1"/>
    <s v="2024-09-29"/>
    <x v="0"/>
    <s v="Check out our latest reel on youtube!"/>
    <n v="2936"/>
    <n v="439"/>
    <n v="44"/>
    <n v="38168"/>
    <n v="37571"/>
    <x v="111"/>
    <x v="3"/>
    <s v="SustainabilityDrive"/>
  </r>
  <r>
    <s v="P131"/>
    <x v="2"/>
    <s v="2024-10-21"/>
    <x v="0"/>
    <s v="Check out our latest reel on instagram!"/>
    <n v="4840"/>
    <n v="658"/>
    <n v="211"/>
    <n v="43560"/>
    <n v="43225"/>
    <x v="101"/>
    <x v="5"/>
    <s v="FSDUpdate"/>
  </r>
  <r>
    <s v="P132"/>
    <x v="2"/>
    <s v="2025-03-04"/>
    <x v="2"/>
    <s v="Check out our latest story on instagram!"/>
    <n v="1947"/>
    <n v="842"/>
    <n v="101"/>
    <n v="21417"/>
    <n v="20967"/>
    <x v="112"/>
    <x v="5"/>
    <s v="ModelYCampaign"/>
  </r>
  <r>
    <s v="P133"/>
    <x v="3"/>
    <s v="2025-02-06"/>
    <x v="4"/>
    <s v="Check out our latest image on facebook!"/>
    <n v="2072"/>
    <n v="532"/>
    <n v="71"/>
    <n v="37296"/>
    <n v="36467"/>
    <x v="19"/>
    <x v="2"/>
    <s v="SustainabilityDrive"/>
  </r>
  <r>
    <s v="P134"/>
    <x v="0"/>
    <s v="2025-04-24"/>
    <x v="0"/>
    <s v="Check out our latest reel on twitter!"/>
    <n v="3731"/>
    <n v="115"/>
    <n v="135"/>
    <n v="55965"/>
    <n v="55436"/>
    <x v="18"/>
    <x v="2"/>
    <s v="CybertruckLaunch"/>
  </r>
  <r>
    <s v="P135"/>
    <x v="3"/>
    <s v="2024-11-28"/>
    <x v="1"/>
    <s v="Check out our latest text on facebook!"/>
    <n v="4213"/>
    <n v="253"/>
    <n v="434"/>
    <n v="75834"/>
    <n v="75437"/>
    <x v="113"/>
    <x v="5"/>
    <s v="SustainabilityDrive"/>
  </r>
  <r>
    <s v="P136"/>
    <x v="2"/>
    <s v="2024-07-11"/>
    <x v="1"/>
    <s v="Check out our latest text on instagram!"/>
    <n v="3134"/>
    <n v="888"/>
    <n v="444"/>
    <n v="21938"/>
    <n v="21337"/>
    <x v="114"/>
    <x v="3"/>
    <s v="SustainabilityDrive"/>
  </r>
  <r>
    <s v="P137"/>
    <x v="3"/>
    <s v="2024-07-31"/>
    <x v="5"/>
    <s v="Check out our latest video on facebook!"/>
    <n v="3008"/>
    <n v="94"/>
    <n v="37"/>
    <n v="15040"/>
    <n v="14639"/>
    <x v="115"/>
    <x v="5"/>
    <m/>
  </r>
  <r>
    <s v="P138"/>
    <x v="0"/>
    <s v="2025-03-29"/>
    <x v="4"/>
    <s v="Check out our latest image on twitter!"/>
    <n v="305"/>
    <n v="187"/>
    <n v="243"/>
    <n v="4575"/>
    <n v="3704"/>
    <x v="116"/>
    <x v="5"/>
    <s v="FSDUpdate"/>
  </r>
  <r>
    <s v="P139"/>
    <x v="1"/>
    <s v="2024-10-29"/>
    <x v="1"/>
    <s v="Check out our latest text on youtube!"/>
    <n v="2746"/>
    <n v="156"/>
    <n v="203"/>
    <n v="32952"/>
    <n v="32147"/>
    <x v="117"/>
    <x v="3"/>
    <s v="CybertruckLaunch"/>
  </r>
  <r>
    <s v="P140"/>
    <x v="3"/>
    <s v="2024-07-15"/>
    <x v="4"/>
    <s v="Check out our latest image on facebook!"/>
    <n v="2291"/>
    <n v="78"/>
    <n v="485"/>
    <n v="18328"/>
    <n v="18101"/>
    <x v="98"/>
    <x v="10"/>
    <s v="ModelYCampaign"/>
  </r>
  <r>
    <s v="P141"/>
    <x v="0"/>
    <s v="2024-08-31"/>
    <x v="4"/>
    <s v="Check out our latest image on twitter!"/>
    <n v="3170"/>
    <n v="857"/>
    <n v="379"/>
    <n v="19020"/>
    <n v="18559"/>
    <x v="118"/>
    <x v="5"/>
    <m/>
  </r>
  <r>
    <s v="P142"/>
    <x v="1"/>
    <s v="2025-03-25"/>
    <x v="2"/>
    <s v="Check out our latest story on youtube!"/>
    <n v="2070"/>
    <n v="275"/>
    <n v="386"/>
    <n v="39330"/>
    <n v="38627"/>
    <x v="12"/>
    <x v="5"/>
    <s v="SustainabilityDrive"/>
  </r>
  <r>
    <s v="P143"/>
    <x v="1"/>
    <s v="2024-10-02"/>
    <x v="3"/>
    <s v="Check out our latest carousel on youtube!"/>
    <n v="80"/>
    <n v="362"/>
    <n v="80"/>
    <n v="1040"/>
    <n v="349"/>
    <x v="1"/>
    <x v="2"/>
    <s v="FSDUpdate"/>
  </r>
  <r>
    <s v="P144"/>
    <x v="1"/>
    <s v="2024-10-28"/>
    <x v="2"/>
    <s v="Check out our latest story on youtube!"/>
    <n v="4929"/>
    <n v="749"/>
    <n v="452"/>
    <n v="93651"/>
    <n v="92810"/>
    <x v="119"/>
    <x v="3"/>
    <s v="SustainabilityDrive"/>
  </r>
  <r>
    <s v="P145"/>
    <x v="2"/>
    <s v="2024-08-12"/>
    <x v="3"/>
    <s v="Check out our latest carousel on instagram!"/>
    <n v="1878"/>
    <n v="62"/>
    <n v="179"/>
    <n v="37560"/>
    <n v="36874"/>
    <x v="107"/>
    <x v="2"/>
    <s v="SustainabilityDrive"/>
  </r>
  <r>
    <s v="P146"/>
    <x v="1"/>
    <s v="2024-06-05"/>
    <x v="0"/>
    <s v="Check out our latest reel on youtube!"/>
    <n v="3065"/>
    <n v="772"/>
    <n v="142"/>
    <n v="18390"/>
    <n v="17875"/>
    <x v="76"/>
    <x v="11"/>
    <m/>
  </r>
  <r>
    <s v="P147"/>
    <x v="2"/>
    <s v="2024-10-21"/>
    <x v="0"/>
    <s v="Check out our latest reel on instagram!"/>
    <n v="3256"/>
    <n v="459"/>
    <n v="266"/>
    <n v="26048"/>
    <n v="25529"/>
    <x v="120"/>
    <x v="2"/>
    <s v="ModelYCampaign"/>
  </r>
  <r>
    <s v="P148"/>
    <x v="2"/>
    <s v="2025-04-15"/>
    <x v="5"/>
    <s v="Check out our latest video on instagram!"/>
    <n v="4133"/>
    <n v="466"/>
    <n v="327"/>
    <n v="24798"/>
    <n v="24620"/>
    <x v="43"/>
    <x v="3"/>
    <s v="SustainabilityDrive"/>
  </r>
  <r>
    <s v="P149"/>
    <x v="0"/>
    <s v="2024-06-16"/>
    <x v="5"/>
    <s v="Check out our latest video on twitter!"/>
    <n v="1702"/>
    <n v="750"/>
    <n v="179"/>
    <n v="34040"/>
    <n v="33174"/>
    <x v="121"/>
    <x v="3"/>
    <s v="CybertruckLaunch"/>
  </r>
  <r>
    <s v="P150"/>
    <x v="1"/>
    <s v="2024-08-22"/>
    <x v="3"/>
    <s v="Check out our latest carousel on youtube!"/>
    <n v="4295"/>
    <n v="853"/>
    <n v="325"/>
    <n v="85900"/>
    <n v="85788"/>
    <x v="122"/>
    <x v="2"/>
    <s v="SustainabilityDrive"/>
  </r>
  <r>
    <s v="P151"/>
    <x v="2"/>
    <s v="2024-07-26"/>
    <x v="4"/>
    <s v="Check out our latest image on instagram!"/>
    <n v="3559"/>
    <n v="59"/>
    <n v="289"/>
    <n v="35590"/>
    <n v="35105"/>
    <x v="123"/>
    <x v="3"/>
    <s v="CybertruckLaunch"/>
  </r>
  <r>
    <s v="P152"/>
    <x v="3"/>
    <s v="2025-04-22"/>
    <x v="4"/>
    <s v="Check out our latest image on facebook!"/>
    <n v="4804"/>
    <n v="550"/>
    <n v="270"/>
    <n v="28824"/>
    <n v="28370"/>
    <x v="124"/>
    <x v="3"/>
    <s v="SustainabilityDrive"/>
  </r>
  <r>
    <s v="P153"/>
    <x v="0"/>
    <s v="2025-01-01"/>
    <x v="5"/>
    <s v="Check out our latest video on twitter!"/>
    <n v="754"/>
    <n v="197"/>
    <n v="257"/>
    <n v="6786"/>
    <n v="6221"/>
    <x v="90"/>
    <x v="2"/>
    <s v="FSDUpdate"/>
  </r>
  <r>
    <s v="P154"/>
    <x v="2"/>
    <s v="2024-10-09"/>
    <x v="3"/>
    <s v="Check out our latest carousel on instagram!"/>
    <n v="985"/>
    <n v="932"/>
    <n v="287"/>
    <n v="6895"/>
    <n v="6757"/>
    <x v="125"/>
    <x v="5"/>
    <s v="SustainabilityDrive"/>
  </r>
  <r>
    <s v="P155"/>
    <x v="1"/>
    <s v="2024-12-21"/>
    <x v="4"/>
    <s v="Check out our latest image on youtube!"/>
    <n v="2283"/>
    <n v="210"/>
    <n v="130"/>
    <n v="22830"/>
    <n v="22617"/>
    <x v="120"/>
    <x v="5"/>
    <s v="ModelYCampaign"/>
  </r>
  <r>
    <s v="P156"/>
    <x v="3"/>
    <s v="2024-10-22"/>
    <x v="3"/>
    <s v="Check out our latest carousel on facebook!"/>
    <n v="3352"/>
    <n v="941"/>
    <n v="482"/>
    <n v="43576"/>
    <n v="43338"/>
    <x v="118"/>
    <x v="5"/>
    <s v="ModelYCampaign"/>
  </r>
  <r>
    <s v="P157"/>
    <x v="1"/>
    <s v="2024-07-23"/>
    <x v="2"/>
    <s v="Check out our latest story on youtube!"/>
    <n v="4775"/>
    <n v="173"/>
    <n v="206"/>
    <n v="47750"/>
    <n v="47544"/>
    <x v="126"/>
    <x v="5"/>
    <s v="ModelYCampaign"/>
  </r>
  <r>
    <s v="P158"/>
    <x v="2"/>
    <s v="2024-08-11"/>
    <x v="2"/>
    <s v="Check out our latest story on instagram!"/>
    <n v="1762"/>
    <n v="405"/>
    <n v="423"/>
    <n v="22906"/>
    <n v="21925"/>
    <x v="19"/>
    <x v="2"/>
    <s v="CybertruckLaunch"/>
  </r>
  <r>
    <s v="P159"/>
    <x v="3"/>
    <s v="2024-11-25"/>
    <x v="2"/>
    <s v="Check out our latest story on facebook!"/>
    <n v="2120"/>
    <n v="158"/>
    <n v="488"/>
    <n v="12720"/>
    <n v="12085"/>
    <x v="86"/>
    <x v="5"/>
    <s v="ModelYCampaign"/>
  </r>
  <r>
    <s v="P160"/>
    <x v="0"/>
    <s v="2024-08-24"/>
    <x v="5"/>
    <s v="Check out our latest video on twitter!"/>
    <n v="1082"/>
    <n v="209"/>
    <n v="484"/>
    <n v="19476"/>
    <n v="18654"/>
    <x v="14"/>
    <x v="2"/>
    <m/>
  </r>
  <r>
    <s v="P161"/>
    <x v="0"/>
    <s v="2025-02-19"/>
    <x v="1"/>
    <s v="Check out our latest text on twitter!"/>
    <n v="4671"/>
    <n v="876"/>
    <n v="366"/>
    <n v="51381"/>
    <n v="50565"/>
    <x v="127"/>
    <x v="2"/>
    <s v="SustainabilityDrive"/>
  </r>
  <r>
    <s v="P162"/>
    <x v="3"/>
    <s v="2025-04-01"/>
    <x v="2"/>
    <s v="Check out our latest story on facebook!"/>
    <n v="3430"/>
    <n v="566"/>
    <n v="164"/>
    <n v="48020"/>
    <n v="47305"/>
    <x v="128"/>
    <x v="5"/>
    <m/>
  </r>
  <r>
    <s v="P163"/>
    <x v="2"/>
    <s v="2025-04-08"/>
    <x v="4"/>
    <s v="Check out our latest image on instagram!"/>
    <n v="4501"/>
    <n v="375"/>
    <n v="323"/>
    <n v="22505"/>
    <n v="21836"/>
    <x v="129"/>
    <x v="2"/>
    <s v="ModelYCampaign"/>
  </r>
  <r>
    <s v="P164"/>
    <x v="1"/>
    <s v="2025-02-27"/>
    <x v="1"/>
    <s v="Check out our latest text on youtube!"/>
    <n v="4934"/>
    <n v="971"/>
    <n v="156"/>
    <n v="39472"/>
    <n v="39025"/>
    <x v="54"/>
    <x v="6"/>
    <s v="SustainabilityDrive"/>
  </r>
  <r>
    <s v="P165"/>
    <x v="0"/>
    <s v="2024-12-11"/>
    <x v="1"/>
    <s v="Check out our latest text on twitter!"/>
    <n v="3239"/>
    <n v="43"/>
    <n v="211"/>
    <n v="22673"/>
    <n v="22171"/>
    <x v="77"/>
    <x v="2"/>
    <s v="ModelYCampaign"/>
  </r>
  <r>
    <s v="P166"/>
    <x v="0"/>
    <s v="2025-02-16"/>
    <x v="0"/>
    <s v="Check out our latest reel on twitter!"/>
    <n v="1076"/>
    <n v="313"/>
    <n v="306"/>
    <n v="11836"/>
    <n v="11596"/>
    <x v="130"/>
    <x v="5"/>
    <s v="CybertruckLaunch"/>
  </r>
  <r>
    <s v="P167"/>
    <x v="2"/>
    <s v="2024-11-28"/>
    <x v="1"/>
    <s v="Check out our latest text on instagram!"/>
    <n v="4771"/>
    <n v="818"/>
    <n v="56"/>
    <n v="57252"/>
    <n v="56378"/>
    <x v="83"/>
    <x v="5"/>
    <m/>
  </r>
  <r>
    <s v="P168"/>
    <x v="3"/>
    <s v="2024-11-12"/>
    <x v="1"/>
    <s v="Check out our latest text on facebook!"/>
    <n v="2418"/>
    <n v="754"/>
    <n v="54"/>
    <n v="43524"/>
    <n v="42743"/>
    <x v="94"/>
    <x v="3"/>
    <s v="CybertruckLaunch"/>
  </r>
  <r>
    <s v="P169"/>
    <x v="1"/>
    <s v="2024-12-03"/>
    <x v="5"/>
    <s v="Check out our latest video on youtube!"/>
    <n v="3809"/>
    <n v="273"/>
    <n v="200"/>
    <n v="34281"/>
    <n v="33534"/>
    <x v="20"/>
    <x v="3"/>
    <s v="CybertruckLaunch"/>
  </r>
  <r>
    <s v="P170"/>
    <x v="0"/>
    <s v="2025-04-28"/>
    <x v="1"/>
    <s v="Check out our latest text on twitter!"/>
    <n v="3577"/>
    <n v="596"/>
    <n v="493"/>
    <n v="67963"/>
    <n v="67839"/>
    <x v="131"/>
    <x v="2"/>
    <s v="FSDUpdate"/>
  </r>
  <r>
    <s v="P171"/>
    <x v="1"/>
    <s v="2024-12-31"/>
    <x v="5"/>
    <s v="Check out our latest video on youtube!"/>
    <n v="1018"/>
    <n v="447"/>
    <n v="332"/>
    <n v="18324"/>
    <n v="18164"/>
    <x v="132"/>
    <x v="5"/>
    <s v="ModelYCampaign"/>
  </r>
  <r>
    <s v="P172"/>
    <x v="3"/>
    <s v="2024-08-14"/>
    <x v="3"/>
    <s v="Check out our latest carousel on facebook!"/>
    <n v="3073"/>
    <n v="553"/>
    <n v="174"/>
    <n v="52241"/>
    <n v="51605"/>
    <x v="133"/>
    <x v="3"/>
    <s v="FSDUpdate"/>
  </r>
  <r>
    <s v="P173"/>
    <x v="0"/>
    <s v="2024-12-05"/>
    <x v="5"/>
    <s v="Check out our latest video on twitter!"/>
    <n v="1330"/>
    <n v="925"/>
    <n v="35"/>
    <n v="15960"/>
    <n v="15379"/>
    <x v="134"/>
    <x v="5"/>
    <s v="FSDUpdate"/>
  </r>
  <r>
    <s v="P174"/>
    <x v="3"/>
    <s v="2024-06-22"/>
    <x v="1"/>
    <s v="Check out our latest text on facebook!"/>
    <n v="3828"/>
    <n v="148"/>
    <n v="253"/>
    <n v="30624"/>
    <n v="30229"/>
    <x v="6"/>
    <x v="3"/>
    <m/>
  </r>
  <r>
    <s v="P175"/>
    <x v="2"/>
    <s v="2025-01-17"/>
    <x v="0"/>
    <s v="Check out our latest reel on instagram!"/>
    <n v="142"/>
    <n v="784"/>
    <n v="183"/>
    <n v="1704"/>
    <n v="995"/>
    <x v="135"/>
    <x v="5"/>
    <s v="SustainabilityDrive"/>
  </r>
  <r>
    <s v="P176"/>
    <x v="3"/>
    <s v="2024-06-20"/>
    <x v="5"/>
    <s v="Check out our latest video on facebook!"/>
    <n v="3798"/>
    <n v="31"/>
    <n v="279"/>
    <n v="75960"/>
    <n v="75813"/>
    <x v="73"/>
    <x v="2"/>
    <s v="CybertruckLaunch"/>
  </r>
  <r>
    <s v="P177"/>
    <x v="2"/>
    <s v="2024-07-10"/>
    <x v="3"/>
    <s v="Check out our latest carousel on instagram!"/>
    <n v="3099"/>
    <n v="694"/>
    <n v="171"/>
    <n v="43386"/>
    <n v="42921"/>
    <x v="51"/>
    <x v="2"/>
    <s v="FSDUpdate"/>
  </r>
  <r>
    <s v="P178"/>
    <x v="2"/>
    <s v="2024-11-07"/>
    <x v="5"/>
    <s v="Check out our latest video on instagram!"/>
    <n v="129"/>
    <n v="643"/>
    <n v="136"/>
    <n v="1290"/>
    <n v="839"/>
    <x v="24"/>
    <x v="2"/>
    <s v="SustainabilityDrive"/>
  </r>
  <r>
    <s v="P179"/>
    <x v="3"/>
    <s v="2024-07-15"/>
    <x v="3"/>
    <s v="Check out our latest carousel on facebook!"/>
    <n v="3796"/>
    <n v="667"/>
    <n v="395"/>
    <n v="64532"/>
    <n v="63550"/>
    <x v="136"/>
    <x v="2"/>
    <m/>
  </r>
  <r>
    <s v="P180"/>
    <x v="1"/>
    <s v="2024-12-03"/>
    <x v="1"/>
    <s v="Check out our latest text on youtube!"/>
    <n v="3711"/>
    <n v="352"/>
    <n v="290"/>
    <n v="48243"/>
    <n v="47579"/>
    <x v="50"/>
    <x v="2"/>
    <s v="CybertruckLaunch"/>
  </r>
  <r>
    <s v="P181"/>
    <x v="1"/>
    <s v="2025-03-21"/>
    <x v="4"/>
    <s v="Check out our latest image on youtube!"/>
    <n v="606"/>
    <n v="789"/>
    <n v="470"/>
    <n v="7878"/>
    <n v="7389"/>
    <x v="137"/>
    <x v="3"/>
    <s v="FSDUpdate"/>
  </r>
  <r>
    <s v="P182"/>
    <x v="3"/>
    <s v="2024-07-31"/>
    <x v="4"/>
    <s v="Check out our latest image on facebook!"/>
    <n v="4689"/>
    <n v="134"/>
    <n v="403"/>
    <n v="51579"/>
    <n v="50924"/>
    <x v="87"/>
    <x v="2"/>
    <s v="SustainabilityDrive"/>
  </r>
  <r>
    <s v="P183"/>
    <x v="2"/>
    <s v="2024-12-17"/>
    <x v="2"/>
    <s v="Check out our latest story on instagram!"/>
    <n v="360"/>
    <n v="590"/>
    <n v="393"/>
    <n v="4680"/>
    <n v="4322"/>
    <x v="138"/>
    <x v="5"/>
    <s v="ModelYCampaign"/>
  </r>
  <r>
    <s v="P184"/>
    <x v="0"/>
    <s v="2024-07-28"/>
    <x v="4"/>
    <s v="Check out our latest image on twitter!"/>
    <n v="3215"/>
    <n v="960"/>
    <n v="202"/>
    <n v="32150"/>
    <n v="31404"/>
    <x v="139"/>
    <x v="3"/>
    <s v="CybertruckLaunch"/>
  </r>
  <r>
    <s v="P185"/>
    <x v="2"/>
    <s v="2025-01-11"/>
    <x v="3"/>
    <s v="Check out our latest carousel on instagram!"/>
    <n v="4523"/>
    <n v="61"/>
    <n v="157"/>
    <n v="49753"/>
    <n v="49329"/>
    <x v="140"/>
    <x v="3"/>
    <m/>
  </r>
  <r>
    <s v="P186"/>
    <x v="3"/>
    <s v="2024-08-24"/>
    <x v="3"/>
    <s v="Check out our latest carousel on facebook!"/>
    <n v="4292"/>
    <n v="51"/>
    <n v="392"/>
    <n v="55796"/>
    <n v="54826"/>
    <x v="104"/>
    <x v="3"/>
    <s v="FSDUpdate"/>
  </r>
  <r>
    <s v="P187"/>
    <x v="0"/>
    <s v="2024-12-22"/>
    <x v="0"/>
    <s v="Check out our latest reel on twitter!"/>
    <n v="1644"/>
    <n v="546"/>
    <n v="150"/>
    <n v="27948"/>
    <n v="27184"/>
    <x v="141"/>
    <x v="3"/>
    <s v="FSDUpdate"/>
  </r>
  <r>
    <s v="P188"/>
    <x v="1"/>
    <s v="2024-06-06"/>
    <x v="0"/>
    <s v="Check out our latest reel on youtube!"/>
    <n v="2728"/>
    <n v="533"/>
    <n v="215"/>
    <n v="40920"/>
    <n v="40816"/>
    <x v="41"/>
    <x v="5"/>
    <s v="ModelYCampaign"/>
  </r>
  <r>
    <s v="P189"/>
    <x v="3"/>
    <s v="2025-03-24"/>
    <x v="0"/>
    <s v="Check out our latest reel on facebook!"/>
    <n v="3360"/>
    <n v="525"/>
    <n v="500"/>
    <n v="60480"/>
    <n v="59610"/>
    <x v="142"/>
    <x v="2"/>
    <s v="CybertruckLaunch"/>
  </r>
  <r>
    <s v="P190"/>
    <x v="1"/>
    <s v="2024-10-04"/>
    <x v="1"/>
    <s v="Check out our latest text on youtube!"/>
    <n v="1963"/>
    <n v="213"/>
    <n v="19"/>
    <n v="39260"/>
    <n v="38771"/>
    <x v="143"/>
    <x v="5"/>
    <m/>
  </r>
  <r>
    <s v="P191"/>
    <x v="1"/>
    <s v="2024-12-03"/>
    <x v="2"/>
    <s v="Check out our latest story on youtube!"/>
    <n v="4285"/>
    <n v="886"/>
    <n v="376"/>
    <n v="55705"/>
    <n v="55556"/>
    <x v="26"/>
    <x v="5"/>
    <s v="FSDUpdate"/>
  </r>
  <r>
    <s v="P192"/>
    <x v="2"/>
    <s v="2024-11-29"/>
    <x v="5"/>
    <s v="Check out our latest video on instagram!"/>
    <n v="1176"/>
    <n v="464"/>
    <n v="394"/>
    <n v="14112"/>
    <n v="13588"/>
    <x v="113"/>
    <x v="3"/>
    <m/>
  </r>
  <r>
    <s v="P193"/>
    <x v="0"/>
    <s v="2024-09-11"/>
    <x v="4"/>
    <s v="Check out our latest image on twitter!"/>
    <n v="4858"/>
    <n v="317"/>
    <n v="129"/>
    <n v="53438"/>
    <n v="52687"/>
    <x v="89"/>
    <x v="3"/>
    <s v="FSDUpdate"/>
  </r>
  <r>
    <s v="P194"/>
    <x v="1"/>
    <s v="2024-10-02"/>
    <x v="2"/>
    <s v="Check out our latest story on youtube!"/>
    <n v="4350"/>
    <n v="771"/>
    <n v="7"/>
    <n v="60900"/>
    <n v="60592"/>
    <x v="144"/>
    <x v="3"/>
    <s v="CybertruckLaunch"/>
  </r>
  <r>
    <s v="P195"/>
    <x v="2"/>
    <s v="2024-08-15"/>
    <x v="3"/>
    <s v="Check out our latest carousel on instagram!"/>
    <n v="914"/>
    <n v="464"/>
    <n v="246"/>
    <n v="11882"/>
    <n v="11500"/>
    <x v="30"/>
    <x v="9"/>
    <s v="SustainabilityDrive"/>
  </r>
  <r>
    <s v="P196"/>
    <x v="2"/>
    <s v="2024-12-19"/>
    <x v="1"/>
    <s v="Check out our latest text on instagram!"/>
    <n v="1813"/>
    <n v="623"/>
    <n v="72"/>
    <n v="19943"/>
    <n v="18959"/>
    <x v="145"/>
    <x v="3"/>
    <s v="FSDUpdate"/>
  </r>
  <r>
    <s v="P197"/>
    <x v="0"/>
    <s v="2024-10-22"/>
    <x v="0"/>
    <s v="Check out our latest reel on twitter!"/>
    <n v="4782"/>
    <n v="721"/>
    <n v="82"/>
    <n v="86076"/>
    <n v="85339"/>
    <x v="17"/>
    <x v="3"/>
    <s v="CybertruckLaunch"/>
  </r>
  <r>
    <s v="P198"/>
    <x v="0"/>
    <s v="2024-09-14"/>
    <x v="4"/>
    <s v="Check out our latest image on twitter!"/>
    <n v="1048"/>
    <n v="374"/>
    <n v="450"/>
    <n v="9432"/>
    <n v="8882"/>
    <x v="108"/>
    <x v="2"/>
    <s v="FSDUpdate"/>
  </r>
  <r>
    <s v="P199"/>
    <x v="1"/>
    <s v="2024-11-30"/>
    <x v="3"/>
    <s v="Check out our latest carousel on youtube!"/>
    <n v="2509"/>
    <n v="324"/>
    <n v="171"/>
    <n v="35126"/>
    <n v="34685"/>
    <x v="115"/>
    <x v="2"/>
    <s v="ModelYCampaign"/>
  </r>
  <r>
    <s v="P200"/>
    <x v="3"/>
    <s v="2025-04-07"/>
    <x v="0"/>
    <s v="Check out our latest reel on facebook!"/>
    <n v="3718"/>
    <n v="385"/>
    <n v="310"/>
    <n v="70642"/>
    <n v="69749"/>
    <x v="106"/>
    <x v="2"/>
    <s v="ModelYCampaign"/>
  </r>
  <r>
    <s v="P201"/>
    <x v="0"/>
    <s v="2025-01-15"/>
    <x v="0"/>
    <s v="Check out our latest reel on twitter!"/>
    <n v="802"/>
    <n v="262"/>
    <n v="244"/>
    <n v="14436"/>
    <n v="14280"/>
    <x v="146"/>
    <x v="3"/>
    <s v="CybertruckLaunch"/>
  </r>
  <r>
    <s v="P202"/>
    <x v="3"/>
    <s v="2024-06-02"/>
    <x v="4"/>
    <s v="Check out our latest image on facebook!"/>
    <n v="1871"/>
    <n v="252"/>
    <n v="335"/>
    <n v="29936"/>
    <n v="29576"/>
    <x v="147"/>
    <x v="3"/>
    <s v="FSDUpdate"/>
  </r>
  <r>
    <s v="P203"/>
    <x v="2"/>
    <s v="2024-11-21"/>
    <x v="3"/>
    <s v="Check out our latest carousel on instagram!"/>
    <n v="3773"/>
    <n v="299"/>
    <n v="38"/>
    <n v="71687"/>
    <n v="71447"/>
    <x v="148"/>
    <x v="5"/>
    <s v="CybertruckLaunch"/>
  </r>
  <r>
    <s v="P204"/>
    <x v="2"/>
    <s v="2025-01-01"/>
    <x v="3"/>
    <s v="Check out our latest carousel on instagram!"/>
    <n v="2234"/>
    <n v="653"/>
    <n v="432"/>
    <n v="11170"/>
    <n v="10569"/>
    <x v="149"/>
    <x v="5"/>
    <s v="FSDUpdate"/>
  </r>
  <r>
    <s v="P205"/>
    <x v="0"/>
    <s v="2025-04-24"/>
    <x v="5"/>
    <s v="Check out our latest video on twitter!"/>
    <n v="3820"/>
    <n v="697"/>
    <n v="268"/>
    <n v="45840"/>
    <n v="45631"/>
    <x v="150"/>
    <x v="12"/>
    <s v="SustainabilityDrive"/>
  </r>
  <r>
    <s v="P206"/>
    <x v="0"/>
    <s v="2024-06-24"/>
    <x v="1"/>
    <s v="Check out our latest text on twitter!"/>
    <n v="941"/>
    <n v="121"/>
    <n v="458"/>
    <n v="14115"/>
    <n v="13838"/>
    <x v="15"/>
    <x v="3"/>
    <s v="CybertruckLaunch"/>
  </r>
  <r>
    <s v="P207"/>
    <x v="0"/>
    <s v="2024-12-29"/>
    <x v="3"/>
    <s v="Check out our latest carousel on twitter!"/>
    <n v="4274"/>
    <n v="340"/>
    <n v="281"/>
    <n v="34192"/>
    <n v="33446"/>
    <x v="151"/>
    <x v="12"/>
    <s v="FSDUpdate"/>
  </r>
  <r>
    <s v="P208"/>
    <x v="1"/>
    <s v="2024-06-24"/>
    <x v="5"/>
    <s v="Check out our latest video on youtube!"/>
    <n v="2949"/>
    <n v="476"/>
    <n v="403"/>
    <n v="44235"/>
    <n v="43705"/>
    <x v="152"/>
    <x v="2"/>
    <s v="ModelYCampaign"/>
  </r>
  <r>
    <s v="P209"/>
    <x v="0"/>
    <s v="2025-03-19"/>
    <x v="5"/>
    <s v="Check out our latest video on twitter!"/>
    <n v="3160"/>
    <n v="204"/>
    <n v="297"/>
    <n v="44240"/>
    <n v="43666"/>
    <x v="146"/>
    <x v="0"/>
    <s v="SustainabilityDrive"/>
  </r>
  <r>
    <s v="P210"/>
    <x v="1"/>
    <s v="2025-02-19"/>
    <x v="4"/>
    <s v="Check out our latest image on youtube!"/>
    <n v="257"/>
    <n v="966"/>
    <n v="398"/>
    <n v="3341"/>
    <n v="2753"/>
    <x v="153"/>
    <x v="5"/>
    <s v="CybertruckLaunch"/>
  </r>
  <r>
    <s v="P211"/>
    <x v="0"/>
    <s v="2024-07-18"/>
    <x v="3"/>
    <s v="Check out our latest carousel on twitter!"/>
    <n v="2120"/>
    <n v="38"/>
    <n v="212"/>
    <n v="12720"/>
    <n v="12564"/>
    <x v="72"/>
    <x v="5"/>
    <s v="SustainabilityDrive"/>
  </r>
  <r>
    <s v="P212"/>
    <x v="1"/>
    <s v="2025-03-03"/>
    <x v="5"/>
    <s v="Check out our latest video on youtube!"/>
    <n v="3874"/>
    <n v="884"/>
    <n v="19"/>
    <n v="38740"/>
    <n v="38552"/>
    <x v="100"/>
    <x v="2"/>
    <s v="ModelYCampaign"/>
  </r>
  <r>
    <s v="P213"/>
    <x v="3"/>
    <s v="2025-05-01"/>
    <x v="3"/>
    <s v="Check out our latest carousel on facebook!"/>
    <n v="2696"/>
    <n v="628"/>
    <n v="443"/>
    <n v="45832"/>
    <n v="45632"/>
    <x v="154"/>
    <x v="3"/>
    <s v="SustainabilityDrive"/>
  </r>
  <r>
    <s v="P214"/>
    <x v="2"/>
    <s v="2024-12-23"/>
    <x v="4"/>
    <s v="Check out our latest image on instagram!"/>
    <n v="521"/>
    <n v="746"/>
    <n v="315"/>
    <n v="4168"/>
    <n v="3399"/>
    <x v="30"/>
    <x v="5"/>
    <s v="ModelYCampaign"/>
  </r>
  <r>
    <s v="P215"/>
    <x v="3"/>
    <s v="2025-05-06"/>
    <x v="4"/>
    <s v="Check out our latest image on facebook!"/>
    <n v="4872"/>
    <n v="925"/>
    <n v="176"/>
    <n v="82824"/>
    <n v="82543"/>
    <x v="155"/>
    <x v="3"/>
    <s v="ModelYCampaign"/>
  </r>
  <r>
    <s v="P216"/>
    <x v="1"/>
    <s v="2024-07-29"/>
    <x v="2"/>
    <s v="Check out our latest story on youtube!"/>
    <n v="1509"/>
    <n v="88"/>
    <n v="163"/>
    <n v="30180"/>
    <n v="29689"/>
    <x v="46"/>
    <x v="3"/>
    <s v="ModelYCampaign"/>
  </r>
  <r>
    <s v="P217"/>
    <x v="3"/>
    <s v="2024-12-03"/>
    <x v="4"/>
    <s v="Check out our latest image on facebook!"/>
    <n v="4606"/>
    <n v="931"/>
    <n v="230"/>
    <n v="92120"/>
    <n v="91440"/>
    <x v="156"/>
    <x v="2"/>
    <m/>
  </r>
  <r>
    <s v="P218"/>
    <x v="3"/>
    <s v="2024-06-11"/>
    <x v="3"/>
    <s v="Check out our latest carousel on facebook!"/>
    <n v="1869"/>
    <n v="453"/>
    <n v="490"/>
    <n v="14952"/>
    <n v="14309"/>
    <x v="31"/>
    <x v="2"/>
    <s v="SustainabilityDrive"/>
  </r>
  <r>
    <s v="P219"/>
    <x v="0"/>
    <s v="2025-01-28"/>
    <x v="0"/>
    <s v="Check out our latest reel on twitter!"/>
    <n v="1188"/>
    <n v="470"/>
    <n v="174"/>
    <n v="7128"/>
    <n v="6145"/>
    <x v="96"/>
    <x v="2"/>
    <s v="SustainabilityDrive"/>
  </r>
  <r>
    <s v="P220"/>
    <x v="2"/>
    <s v="2024-06-02"/>
    <x v="2"/>
    <s v="Check out our latest story on instagram!"/>
    <n v="84"/>
    <n v="897"/>
    <n v="85"/>
    <n v="588"/>
    <n v="8"/>
    <x v="88"/>
    <x v="3"/>
    <m/>
  </r>
  <r>
    <s v="P221"/>
    <x v="3"/>
    <s v="2025-03-23"/>
    <x v="5"/>
    <s v="Check out our latest video on facebook!"/>
    <n v="4453"/>
    <n v="111"/>
    <n v="420"/>
    <n v="31171"/>
    <n v="30565"/>
    <x v="157"/>
    <x v="2"/>
    <m/>
  </r>
  <r>
    <s v="P222"/>
    <x v="3"/>
    <s v="2024-10-08"/>
    <x v="0"/>
    <s v="Check out our latest reel on facebook!"/>
    <n v="1814"/>
    <n v="653"/>
    <n v="363"/>
    <n v="25396"/>
    <n v="25286"/>
    <x v="7"/>
    <x v="13"/>
    <s v="CybertruckLaunch"/>
  </r>
  <r>
    <s v="P223"/>
    <x v="0"/>
    <s v="2024-11-12"/>
    <x v="4"/>
    <s v="Check out our latest image on twitter!"/>
    <n v="3338"/>
    <n v="277"/>
    <n v="118"/>
    <n v="60084"/>
    <n v="59842"/>
    <x v="158"/>
    <x v="2"/>
    <m/>
  </r>
  <r>
    <s v="P224"/>
    <x v="3"/>
    <s v="2025-05-13"/>
    <x v="4"/>
    <s v="Check out our latest image on facebook!"/>
    <n v="602"/>
    <n v="594"/>
    <n v="156"/>
    <n v="4214"/>
    <n v="3363"/>
    <x v="159"/>
    <x v="2"/>
    <s v="FSDUpdate"/>
  </r>
  <r>
    <s v="P225"/>
    <x v="0"/>
    <s v="2024-06-20"/>
    <x v="3"/>
    <s v="Check out our latest carousel on twitter!"/>
    <n v="4672"/>
    <n v="325"/>
    <n v="32"/>
    <n v="88768"/>
    <n v="87833"/>
    <x v="160"/>
    <x v="3"/>
    <m/>
  </r>
  <r>
    <s v="P226"/>
    <x v="2"/>
    <s v="2024-08-07"/>
    <x v="3"/>
    <s v="Check out our latest carousel on instagram!"/>
    <n v="1741"/>
    <n v="164"/>
    <n v="318"/>
    <n v="8705"/>
    <n v="8272"/>
    <x v="161"/>
    <x v="2"/>
    <m/>
  </r>
  <r>
    <s v="P227"/>
    <x v="2"/>
    <s v="2024-06-12"/>
    <x v="1"/>
    <s v="Check out our latest text on instagram!"/>
    <n v="246"/>
    <n v="149"/>
    <n v="130"/>
    <n v="4674"/>
    <n v="4390"/>
    <x v="162"/>
    <x v="5"/>
    <s v="FSDUpdate"/>
  </r>
  <r>
    <s v="P228"/>
    <x v="2"/>
    <s v="2024-07-01"/>
    <x v="2"/>
    <s v="Check out our latest story on instagram!"/>
    <n v="4808"/>
    <n v="772"/>
    <n v="320"/>
    <n v="72120"/>
    <n v="71696"/>
    <x v="144"/>
    <x v="3"/>
    <s v="CybertruckLaunch"/>
  </r>
  <r>
    <s v="P229"/>
    <x v="2"/>
    <s v="2024-07-03"/>
    <x v="3"/>
    <s v="Check out our latest carousel on instagram!"/>
    <n v="4799"/>
    <n v="694"/>
    <n v="289"/>
    <n v="43191"/>
    <n v="42228"/>
    <x v="160"/>
    <x v="2"/>
    <m/>
  </r>
  <r>
    <s v="P230"/>
    <x v="3"/>
    <s v="2024-07-15"/>
    <x v="0"/>
    <s v="Check out our latest reel on facebook!"/>
    <n v="3663"/>
    <n v="17"/>
    <n v="295"/>
    <n v="51282"/>
    <n v="50567"/>
    <x v="57"/>
    <x v="3"/>
    <s v="FSDUpdate"/>
  </r>
  <r>
    <s v="P231"/>
    <x v="2"/>
    <s v="2025-05-01"/>
    <x v="1"/>
    <s v="Check out our latest text on instagram!"/>
    <n v="1430"/>
    <n v="376"/>
    <n v="33"/>
    <n v="21450"/>
    <n v="20509"/>
    <x v="139"/>
    <x v="5"/>
    <s v="CybertruckLaunch"/>
  </r>
  <r>
    <s v="P232"/>
    <x v="0"/>
    <s v="2025-04-29"/>
    <x v="2"/>
    <s v="Check out our latest story on twitter!"/>
    <n v="249"/>
    <n v="592"/>
    <n v="230"/>
    <n v="1494"/>
    <n v="1044"/>
    <x v="163"/>
    <x v="3"/>
    <s v="SustainabilityDrive"/>
  </r>
  <r>
    <s v="P233"/>
    <x v="3"/>
    <s v="2025-03-08"/>
    <x v="4"/>
    <s v="Check out our latest image on facebook!"/>
    <n v="2382"/>
    <n v="265"/>
    <n v="134"/>
    <n v="38112"/>
    <n v="37437"/>
    <x v="164"/>
    <x v="5"/>
    <s v="SustainabilityDrive"/>
  </r>
  <r>
    <s v="P234"/>
    <x v="3"/>
    <s v="2024-06-01"/>
    <x v="1"/>
    <s v="Check out our latest text on facebook!"/>
    <n v="1272"/>
    <n v="465"/>
    <n v="99"/>
    <n v="24168"/>
    <n v="23719"/>
    <x v="165"/>
    <x v="2"/>
    <m/>
  </r>
  <r>
    <s v="P235"/>
    <x v="3"/>
    <s v="2024-12-22"/>
    <x v="4"/>
    <s v="Check out our latest image on facebook!"/>
    <n v="3196"/>
    <n v="941"/>
    <n v="376"/>
    <n v="35156"/>
    <n v="34444"/>
    <x v="40"/>
    <x v="2"/>
    <s v="FSDUpdate"/>
  </r>
  <r>
    <s v="P236"/>
    <x v="3"/>
    <s v="2024-08-19"/>
    <x v="1"/>
    <s v="Check out our latest text on facebook!"/>
    <n v="1257"/>
    <n v="19"/>
    <n v="351"/>
    <n v="12570"/>
    <n v="11660"/>
    <x v="166"/>
    <x v="14"/>
    <s v="ModelYCampaign"/>
  </r>
  <r>
    <s v="P237"/>
    <x v="2"/>
    <s v="2024-10-22"/>
    <x v="2"/>
    <s v="Check out our latest story on instagram!"/>
    <n v="3770"/>
    <n v="917"/>
    <n v="129"/>
    <n v="71630"/>
    <n v="71322"/>
    <x v="121"/>
    <x v="5"/>
    <s v="CybertruckLaunch"/>
  </r>
  <r>
    <s v="P238"/>
    <x v="0"/>
    <s v="2024-07-16"/>
    <x v="1"/>
    <s v="Check out our latest text on twitter!"/>
    <n v="4725"/>
    <n v="400"/>
    <n v="362"/>
    <n v="75600"/>
    <n v="74927"/>
    <x v="66"/>
    <x v="5"/>
    <s v="SustainabilityDrive"/>
  </r>
  <r>
    <s v="P239"/>
    <x v="1"/>
    <s v="2025-02-24"/>
    <x v="1"/>
    <s v="Check out our latest text on youtube!"/>
    <n v="4188"/>
    <n v="942"/>
    <n v="118"/>
    <n v="20940"/>
    <n v="20471"/>
    <x v="109"/>
    <x v="5"/>
    <m/>
  </r>
  <r>
    <s v="P240"/>
    <x v="0"/>
    <s v="2024-08-26"/>
    <x v="3"/>
    <s v="Check out our latest carousel on twitter!"/>
    <n v="929"/>
    <n v="192"/>
    <n v="322"/>
    <n v="16722"/>
    <n v="15996"/>
    <x v="143"/>
    <x v="8"/>
    <s v="FSDUpdate"/>
  </r>
  <r>
    <s v="P241"/>
    <x v="3"/>
    <s v="2025-01-18"/>
    <x v="2"/>
    <s v="Check out our latest story on facebook!"/>
    <n v="4321"/>
    <n v="874"/>
    <n v="172"/>
    <n v="30247"/>
    <n v="29254"/>
    <x v="123"/>
    <x v="2"/>
    <s v="SustainabilityDrive"/>
  </r>
  <r>
    <s v="P242"/>
    <x v="3"/>
    <s v="2024-07-07"/>
    <x v="0"/>
    <s v="Check out our latest reel on facebook!"/>
    <n v="4767"/>
    <n v="190"/>
    <n v="340"/>
    <n v="28602"/>
    <n v="28044"/>
    <x v="167"/>
    <x v="3"/>
    <s v="FSDUpdate"/>
  </r>
  <r>
    <s v="P243"/>
    <x v="0"/>
    <s v="2025-03-06"/>
    <x v="4"/>
    <s v="Check out our latest image on twitter!"/>
    <n v="3592"/>
    <n v="911"/>
    <n v="375"/>
    <n v="50288"/>
    <n v="49490"/>
    <x v="92"/>
    <x v="5"/>
    <s v="SustainabilityDrive"/>
  </r>
  <r>
    <s v="P244"/>
    <x v="1"/>
    <s v="2024-10-25"/>
    <x v="5"/>
    <s v="Check out our latest video on youtube!"/>
    <n v="4661"/>
    <n v="935"/>
    <n v="433"/>
    <n v="23305"/>
    <n v="22583"/>
    <x v="71"/>
    <x v="5"/>
    <s v="FSDUpdate"/>
  </r>
  <r>
    <s v="P245"/>
    <x v="3"/>
    <s v="2025-01-12"/>
    <x v="0"/>
    <s v="Check out our latest reel on facebook!"/>
    <n v="4134"/>
    <n v="824"/>
    <n v="99"/>
    <n v="41340"/>
    <n v="41050"/>
    <x v="47"/>
    <x v="3"/>
    <s v="CybertruckLaunch"/>
  </r>
  <r>
    <s v="P246"/>
    <x v="3"/>
    <s v="2024-10-11"/>
    <x v="4"/>
    <s v="Check out our latest image on facebook!"/>
    <n v="400"/>
    <n v="680"/>
    <n v="434"/>
    <n v="6400"/>
    <n v="5472"/>
    <x v="168"/>
    <x v="5"/>
    <s v="ModelYCampaign"/>
  </r>
  <r>
    <s v="P247"/>
    <x v="3"/>
    <s v="2024-08-27"/>
    <x v="0"/>
    <s v="Check out our latest reel on facebook!"/>
    <n v="3960"/>
    <n v="266"/>
    <n v="8"/>
    <n v="35640"/>
    <n v="34850"/>
    <x v="138"/>
    <x v="15"/>
    <m/>
  </r>
  <r>
    <s v="P248"/>
    <x v="3"/>
    <s v="2025-02-02"/>
    <x v="2"/>
    <s v="Check out our latest story on facebook!"/>
    <n v="886"/>
    <n v="126"/>
    <n v="153"/>
    <n v="4430"/>
    <n v="4037"/>
    <x v="90"/>
    <x v="3"/>
    <m/>
  </r>
  <r>
    <s v="P249"/>
    <x v="0"/>
    <s v="2024-07-18"/>
    <x v="4"/>
    <s v="Check out our latest image on twitter!"/>
    <n v="827"/>
    <n v="77"/>
    <n v="402"/>
    <n v="14886"/>
    <n v="14129"/>
    <x v="169"/>
    <x v="3"/>
    <s v="ModelYCampaign"/>
  </r>
  <r>
    <s v="P250"/>
    <x v="3"/>
    <s v="2024-06-22"/>
    <x v="0"/>
    <s v="Check out our latest reel on facebook!"/>
    <n v="3813"/>
    <n v="935"/>
    <n v="274"/>
    <n v="68634"/>
    <n v="68488"/>
    <x v="139"/>
    <x v="5"/>
    <m/>
  </r>
  <r>
    <s v="P251"/>
    <x v="2"/>
    <s v="2025-03-27"/>
    <x v="3"/>
    <s v="Check out our latest carousel on instagram!"/>
    <n v="1377"/>
    <n v="796"/>
    <n v="387"/>
    <n v="22032"/>
    <n v="21869"/>
    <x v="170"/>
    <x v="5"/>
    <m/>
  </r>
  <r>
    <s v="P252"/>
    <x v="3"/>
    <s v="2025-04-28"/>
    <x v="3"/>
    <s v="Check out our latest carousel on facebook!"/>
    <n v="2089"/>
    <n v="476"/>
    <n v="69"/>
    <n v="16712"/>
    <n v="16309"/>
    <x v="125"/>
    <x v="5"/>
    <s v="FSDUpdate"/>
  </r>
  <r>
    <s v="P253"/>
    <x v="0"/>
    <s v="2024-08-03"/>
    <x v="0"/>
    <s v="Check out our latest reel on twitter!"/>
    <n v="3791"/>
    <n v="593"/>
    <n v="228"/>
    <n v="53074"/>
    <n v="52613"/>
    <x v="39"/>
    <x v="3"/>
    <m/>
  </r>
  <r>
    <s v="P254"/>
    <x v="0"/>
    <s v="2025-01-14"/>
    <x v="4"/>
    <s v="Check out our latest image on twitter!"/>
    <n v="2692"/>
    <n v="115"/>
    <n v="64"/>
    <n v="21536"/>
    <n v="21120"/>
    <x v="4"/>
    <x v="5"/>
    <s v="ModelYCampaign"/>
  </r>
  <r>
    <s v="P255"/>
    <x v="3"/>
    <s v="2025-04-03"/>
    <x v="2"/>
    <s v="Check out our latest story on facebook!"/>
    <n v="3767"/>
    <n v="514"/>
    <n v="238"/>
    <n v="37670"/>
    <n v="36807"/>
    <x v="171"/>
    <x v="5"/>
    <s v="SustainabilityDrive"/>
  </r>
  <r>
    <s v="P256"/>
    <x v="1"/>
    <s v="2024-09-18"/>
    <x v="3"/>
    <s v="Check out our latest carousel on youtube!"/>
    <n v="2143"/>
    <n v="12"/>
    <n v="204"/>
    <n v="40717"/>
    <n v="40125"/>
    <x v="154"/>
    <x v="3"/>
    <s v="ModelYCampaign"/>
  </r>
  <r>
    <s v="P257"/>
    <x v="3"/>
    <s v="2025-04-06"/>
    <x v="4"/>
    <s v="Check out our latest image on facebook!"/>
    <n v="3090"/>
    <n v="697"/>
    <n v="164"/>
    <n v="49440"/>
    <n v="48524"/>
    <x v="19"/>
    <x v="16"/>
    <s v="ModelYCampaign"/>
  </r>
  <r>
    <s v="P258"/>
    <x v="2"/>
    <s v="2024-08-05"/>
    <x v="2"/>
    <s v="Check out our latest story on instagram!"/>
    <n v="3601"/>
    <n v="695"/>
    <n v="75"/>
    <n v="21606"/>
    <n v="21454"/>
    <x v="172"/>
    <x v="3"/>
    <s v="ModelYCampaign"/>
  </r>
  <r>
    <s v="P259"/>
    <x v="3"/>
    <s v="2025-02-10"/>
    <x v="1"/>
    <s v="Check out our latest text on facebook!"/>
    <n v="562"/>
    <n v="158"/>
    <n v="149"/>
    <n v="3372"/>
    <n v="2940"/>
    <x v="29"/>
    <x v="2"/>
    <s v="CybertruckLaunch"/>
  </r>
  <r>
    <s v="P260"/>
    <x v="2"/>
    <s v="2025-02-12"/>
    <x v="2"/>
    <s v="Check out our latest story on instagram!"/>
    <n v="4332"/>
    <n v="771"/>
    <n v="219"/>
    <n v="60648"/>
    <n v="60397"/>
    <x v="98"/>
    <x v="17"/>
    <s v="FSDUpdate"/>
  </r>
  <r>
    <s v="P261"/>
    <x v="2"/>
    <s v="2024-10-27"/>
    <x v="4"/>
    <s v="Check out our latest image on instagram!"/>
    <n v="4853"/>
    <n v="837"/>
    <n v="340"/>
    <n v="72795"/>
    <n v="72237"/>
    <x v="110"/>
    <x v="3"/>
    <s v="CybertruckLaunch"/>
  </r>
  <r>
    <s v="P262"/>
    <x v="1"/>
    <s v="2025-01-18"/>
    <x v="4"/>
    <s v="Check out our latest image on youtube!"/>
    <n v="1206"/>
    <n v="238"/>
    <n v="36"/>
    <n v="9648"/>
    <n v="9417"/>
    <x v="173"/>
    <x v="2"/>
    <m/>
  </r>
  <r>
    <s v="P263"/>
    <x v="2"/>
    <s v="2024-08-20"/>
    <x v="0"/>
    <s v="Check out our latest reel on instagram!"/>
    <n v="2603"/>
    <n v="690"/>
    <n v="205"/>
    <n v="13015"/>
    <n v="12130"/>
    <x v="14"/>
    <x v="5"/>
    <s v="ModelYCampaign"/>
  </r>
  <r>
    <s v="P264"/>
    <x v="0"/>
    <s v="2025-01-30"/>
    <x v="4"/>
    <s v="Check out our latest image on twitter!"/>
    <n v="59"/>
    <n v="163"/>
    <n v="93"/>
    <n v="590"/>
    <n v="475"/>
    <x v="174"/>
    <x v="2"/>
    <s v="ModelYCampaign"/>
  </r>
  <r>
    <s v="P265"/>
    <x v="0"/>
    <s v="2025-02-20"/>
    <x v="3"/>
    <s v="Check out our latest carousel on twitter!"/>
    <n v="1877"/>
    <n v="745"/>
    <n v="225"/>
    <n v="11262"/>
    <n v="10967"/>
    <x v="175"/>
    <x v="3"/>
    <s v="SustainabilityDrive"/>
  </r>
  <r>
    <s v="P266"/>
    <x v="3"/>
    <s v="2024-11-25"/>
    <x v="2"/>
    <s v="Check out our latest story on facebook!"/>
    <n v="4182"/>
    <n v="640"/>
    <n v="240"/>
    <n v="50184"/>
    <n v="49351"/>
    <x v="98"/>
    <x v="2"/>
    <s v="FSDUpdate"/>
  </r>
  <r>
    <s v="P267"/>
    <x v="0"/>
    <s v="2024-10-04"/>
    <x v="0"/>
    <s v="Check out our latest reel on twitter!"/>
    <n v="4187"/>
    <n v="66"/>
    <n v="31"/>
    <n v="66992"/>
    <n v="66614"/>
    <x v="176"/>
    <x v="5"/>
    <m/>
  </r>
  <r>
    <s v="P268"/>
    <x v="2"/>
    <s v="2025-04-13"/>
    <x v="0"/>
    <s v="Check out our latest reel on instagram!"/>
    <n v="4579"/>
    <n v="125"/>
    <n v="300"/>
    <n v="59527"/>
    <n v="59400"/>
    <x v="177"/>
    <x v="3"/>
    <s v="CybertruckLaunch"/>
  </r>
  <r>
    <s v="P269"/>
    <x v="2"/>
    <s v="2024-11-05"/>
    <x v="5"/>
    <s v="Check out our latest video on instagram!"/>
    <n v="4561"/>
    <n v="51"/>
    <n v="441"/>
    <n v="22805"/>
    <n v="21890"/>
    <x v="178"/>
    <x v="2"/>
    <s v="ModelYCampaign"/>
  </r>
  <r>
    <s v="P270"/>
    <x v="1"/>
    <s v="2025-01-15"/>
    <x v="0"/>
    <s v="Check out our latest reel on youtube!"/>
    <n v="3774"/>
    <n v="239"/>
    <n v="39"/>
    <n v="60384"/>
    <n v="59490"/>
    <x v="40"/>
    <x v="2"/>
    <s v="FSDUpdate"/>
  </r>
  <r>
    <s v="P271"/>
    <x v="2"/>
    <s v="2024-10-17"/>
    <x v="5"/>
    <s v="Check out our latest video on instagram!"/>
    <n v="3575"/>
    <n v="749"/>
    <n v="111"/>
    <n v="21450"/>
    <n v="20785"/>
    <x v="144"/>
    <x v="3"/>
    <s v="ModelYCampaign"/>
  </r>
  <r>
    <s v="P272"/>
    <x v="2"/>
    <s v="2025-03-27"/>
    <x v="1"/>
    <s v="Check out our latest text on instagram!"/>
    <n v="4941"/>
    <n v="414"/>
    <n v="266"/>
    <n v="39528"/>
    <n v="39154"/>
    <x v="162"/>
    <x v="2"/>
    <s v="FSDUpdate"/>
  </r>
  <r>
    <s v="P273"/>
    <x v="1"/>
    <s v="2024-10-12"/>
    <x v="2"/>
    <s v="Check out our latest story on youtube!"/>
    <n v="3641"/>
    <n v="226"/>
    <n v="46"/>
    <n v="40051"/>
    <n v="39319"/>
    <x v="179"/>
    <x v="3"/>
    <s v="SustainabilityDrive"/>
  </r>
  <r>
    <s v="P274"/>
    <x v="0"/>
    <s v="2025-01-01"/>
    <x v="3"/>
    <s v="Check out our latest carousel on twitter!"/>
    <n v="3535"/>
    <n v="494"/>
    <n v="152"/>
    <n v="53025"/>
    <n v="52791"/>
    <x v="99"/>
    <x v="2"/>
    <s v="SustainabilityDrive"/>
  </r>
  <r>
    <s v="P275"/>
    <x v="3"/>
    <s v="2024-08-05"/>
    <x v="0"/>
    <s v="Check out our latest reel on facebook!"/>
    <n v="1741"/>
    <n v="831"/>
    <n v="345"/>
    <n v="17410"/>
    <n v="16844"/>
    <x v="180"/>
    <x v="3"/>
    <s v="FSDUpdate"/>
  </r>
  <r>
    <s v="P276"/>
    <x v="0"/>
    <s v="2024-06-07"/>
    <x v="3"/>
    <s v="Check out our latest carousel on twitter!"/>
    <n v="1556"/>
    <n v="195"/>
    <n v="131"/>
    <n v="9336"/>
    <n v="8875"/>
    <x v="41"/>
    <x v="2"/>
    <s v="ModelYCampaign"/>
  </r>
  <r>
    <s v="P277"/>
    <x v="3"/>
    <s v="2025-04-06"/>
    <x v="4"/>
    <s v="Check out our latest image on facebook!"/>
    <n v="4236"/>
    <n v="711"/>
    <n v="298"/>
    <n v="21180"/>
    <n v="20516"/>
    <x v="24"/>
    <x v="5"/>
    <s v="CybertruckLaunch"/>
  </r>
  <r>
    <s v="P278"/>
    <x v="0"/>
    <s v="2024-11-26"/>
    <x v="1"/>
    <s v="Check out our latest text on twitter!"/>
    <n v="4516"/>
    <n v="836"/>
    <n v="169"/>
    <n v="49676"/>
    <n v="49257"/>
    <x v="30"/>
    <x v="3"/>
    <s v="SustainabilityDrive"/>
  </r>
  <r>
    <s v="P279"/>
    <x v="1"/>
    <s v="2024-09-02"/>
    <x v="4"/>
    <s v="Check out our latest image on youtube!"/>
    <n v="4905"/>
    <n v="845"/>
    <n v="129"/>
    <n v="98100"/>
    <n v="97772"/>
    <x v="181"/>
    <x v="2"/>
    <s v="ModelYCampaign"/>
  </r>
  <r>
    <s v="P280"/>
    <x v="1"/>
    <s v="2024-10-21"/>
    <x v="5"/>
    <s v="Check out our latest video on youtube!"/>
    <n v="4275"/>
    <n v="680"/>
    <n v="385"/>
    <n v="64125"/>
    <n v="63650"/>
    <x v="130"/>
    <x v="8"/>
    <s v="SustainabilityDrive"/>
  </r>
  <r>
    <s v="P281"/>
    <x v="1"/>
    <s v="2025-03-22"/>
    <x v="4"/>
    <s v="Check out our latest image on youtube!"/>
    <n v="3166"/>
    <n v="90"/>
    <n v="341"/>
    <n v="56988"/>
    <n v="56125"/>
    <x v="152"/>
    <x v="3"/>
    <s v="ModelYCampaign"/>
  </r>
  <r>
    <s v="P282"/>
    <x v="2"/>
    <s v="2024-10-03"/>
    <x v="5"/>
    <s v="Check out our latest video on instagram!"/>
    <n v="1488"/>
    <n v="417"/>
    <n v="168"/>
    <n v="19344"/>
    <n v="18395"/>
    <x v="182"/>
    <x v="5"/>
    <s v="FSDUpdate"/>
  </r>
  <r>
    <s v="P283"/>
    <x v="0"/>
    <s v="2025-05-09"/>
    <x v="0"/>
    <s v="Check out our latest reel on twitter!"/>
    <n v="3367"/>
    <n v="302"/>
    <n v="57"/>
    <n v="63973"/>
    <n v="63789"/>
    <x v="105"/>
    <x v="5"/>
    <s v="ModelYCampaign"/>
  </r>
  <r>
    <s v="P284"/>
    <x v="0"/>
    <s v="2024-09-17"/>
    <x v="1"/>
    <s v="Check out our latest text on twitter!"/>
    <n v="571"/>
    <n v="190"/>
    <n v="352"/>
    <n v="9707"/>
    <n v="9418"/>
    <x v="183"/>
    <x v="2"/>
    <s v="SustainabilityDrive"/>
  </r>
  <r>
    <s v="P285"/>
    <x v="1"/>
    <s v="2024-07-18"/>
    <x v="1"/>
    <s v="Check out our latest text on youtube!"/>
    <n v="4021"/>
    <n v="794"/>
    <n v="77"/>
    <n v="36189"/>
    <n v="35505"/>
    <x v="56"/>
    <x v="3"/>
    <m/>
  </r>
  <r>
    <s v="P286"/>
    <x v="1"/>
    <s v="2024-09-25"/>
    <x v="5"/>
    <s v="Check out our latest video on youtube!"/>
    <n v="3389"/>
    <n v="344"/>
    <n v="229"/>
    <n v="20334"/>
    <n v="19443"/>
    <x v="184"/>
    <x v="5"/>
    <s v="FSDUpdate"/>
  </r>
  <r>
    <s v="P287"/>
    <x v="2"/>
    <s v="2024-08-15"/>
    <x v="0"/>
    <s v="Check out our latest reel on instagram!"/>
    <n v="1164"/>
    <n v="616"/>
    <n v="324"/>
    <n v="6984"/>
    <n v="6636"/>
    <x v="185"/>
    <x v="3"/>
    <s v="CybertruckLaunch"/>
  </r>
  <r>
    <s v="P288"/>
    <x v="1"/>
    <s v="2025-04-17"/>
    <x v="3"/>
    <s v="Check out our latest carousel on youtube!"/>
    <n v="4780"/>
    <n v="691"/>
    <n v="380"/>
    <n v="86040"/>
    <n v="85743"/>
    <x v="55"/>
    <x v="5"/>
    <s v="FSDUpdate"/>
  </r>
  <r>
    <s v="P289"/>
    <x v="3"/>
    <s v="2024-11-28"/>
    <x v="3"/>
    <s v="Check out our latest carousel on facebook!"/>
    <n v="2751"/>
    <n v="33"/>
    <n v="430"/>
    <n v="44016"/>
    <n v="43415"/>
    <x v="151"/>
    <x v="5"/>
    <m/>
  </r>
  <r>
    <s v="P290"/>
    <x v="2"/>
    <s v="2024-12-20"/>
    <x v="3"/>
    <s v="Check out our latest carousel on instagram!"/>
    <n v="2107"/>
    <n v="550"/>
    <n v="349"/>
    <n v="35819"/>
    <n v="35340"/>
    <x v="186"/>
    <x v="3"/>
    <s v="SustainabilityDrive"/>
  </r>
  <r>
    <s v="P291"/>
    <x v="3"/>
    <s v="2024-11-06"/>
    <x v="5"/>
    <s v="Check out our latest video on facebook!"/>
    <n v="4663"/>
    <n v="145"/>
    <n v="225"/>
    <n v="69945"/>
    <n v="69596"/>
    <x v="187"/>
    <x v="3"/>
    <s v="SustainabilityDrive"/>
  </r>
  <r>
    <s v="P292"/>
    <x v="3"/>
    <s v="2024-11-17"/>
    <x v="1"/>
    <s v="Check out our latest text on facebook!"/>
    <n v="880"/>
    <n v="297"/>
    <n v="345"/>
    <n v="12320"/>
    <n v="11978"/>
    <x v="24"/>
    <x v="6"/>
    <m/>
  </r>
  <r>
    <s v="P293"/>
    <x v="3"/>
    <s v="2025-05-14"/>
    <x v="1"/>
    <s v="Check out our latest text on facebook!"/>
    <n v="2634"/>
    <n v="726"/>
    <n v="241"/>
    <n v="28974"/>
    <n v="28102"/>
    <x v="115"/>
    <x v="3"/>
    <s v="CybertruckLaunch"/>
  </r>
  <r>
    <s v="P294"/>
    <x v="3"/>
    <s v="2024-06-19"/>
    <x v="3"/>
    <s v="Check out our latest carousel on facebook!"/>
    <n v="4731"/>
    <n v="173"/>
    <n v="276"/>
    <n v="28386"/>
    <n v="28185"/>
    <x v="155"/>
    <x v="3"/>
    <s v="FSDUpdate"/>
  </r>
  <r>
    <s v="P295"/>
    <x v="0"/>
    <s v="2025-05-06"/>
    <x v="4"/>
    <s v="Check out our latest image on twitter!"/>
    <n v="1952"/>
    <n v="344"/>
    <n v="287"/>
    <n v="15616"/>
    <n v="15403"/>
    <x v="6"/>
    <x v="9"/>
    <s v="ModelYCampaign"/>
  </r>
  <r>
    <s v="P296"/>
    <x v="0"/>
    <s v="2025-02-11"/>
    <x v="5"/>
    <s v="Check out our latest video on twitter!"/>
    <n v="3440"/>
    <n v="13"/>
    <n v="20"/>
    <n v="58480"/>
    <n v="58146"/>
    <x v="167"/>
    <x v="12"/>
    <s v="SustainabilityDrive"/>
  </r>
  <r>
    <s v="P297"/>
    <x v="0"/>
    <s v="2024-12-24"/>
    <x v="1"/>
    <s v="Check out our latest text on twitter!"/>
    <n v="2166"/>
    <n v="354"/>
    <n v="117"/>
    <n v="10830"/>
    <n v="10245"/>
    <x v="188"/>
    <x v="3"/>
    <s v="SustainabilityDrive"/>
  </r>
  <r>
    <s v="P298"/>
    <x v="3"/>
    <s v="2024-10-24"/>
    <x v="4"/>
    <s v="Check out our latest image on facebook!"/>
    <n v="4303"/>
    <n v="451"/>
    <n v="286"/>
    <n v="86060"/>
    <n v="85823"/>
    <x v="189"/>
    <x v="2"/>
    <s v="FSDUpdate"/>
  </r>
  <r>
    <s v="P299"/>
    <x v="3"/>
    <s v="2024-08-26"/>
    <x v="4"/>
    <s v="Check out our latest image on facebook!"/>
    <n v="2581"/>
    <n v="517"/>
    <n v="117"/>
    <n v="23229"/>
    <n v="22331"/>
    <x v="190"/>
    <x v="5"/>
    <s v="FSDUpdate"/>
  </r>
  <r>
    <s v="P300"/>
    <x v="0"/>
    <s v="2024-08-31"/>
    <x v="3"/>
    <s v="Check out our latest carousel on twitter!"/>
    <n v="4494"/>
    <n v="717"/>
    <n v="45"/>
    <n v="62916"/>
    <n v="62688"/>
    <x v="186"/>
    <x v="17"/>
    <s v="CybertruckLaunc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s v="Twitter"/>
    <d v="2024-12-23T00:00:00"/>
    <s v="Reel"/>
    <s v="Check out our latest reel on twitter!"/>
    <n v="1461"/>
    <n v="184"/>
    <n v="344"/>
    <n v="21915"/>
    <n v="21675"/>
    <n v="15"/>
    <x v="0"/>
    <s v="CybertruckLaunch"/>
  </r>
  <r>
    <s v="P001"/>
    <s v="Twitter"/>
    <d v="2024-12-23T00:00:00"/>
    <s v="Reel"/>
    <s v="Check out our latest reel on twitter!"/>
    <n v="1461"/>
    <n v="184"/>
    <n v="344"/>
    <n v="21915"/>
    <n v="21675"/>
    <n v="15"/>
    <x v="1"/>
    <s v="CybertruckLaunch"/>
  </r>
  <r>
    <s v="P002"/>
    <s v="Twitter"/>
    <d v="2025-04-03T00:00:00"/>
    <s v="Text"/>
    <s v="Check out our latest text on twitter!"/>
    <n v="4054"/>
    <n v="389"/>
    <n v="493"/>
    <n v="64864"/>
    <n v="64383"/>
    <n v="117"/>
    <x v="2"/>
    <s v="ModelYCampaign"/>
  </r>
  <r>
    <s v="P002"/>
    <s v="Twitter"/>
    <d v="2025-04-03T00:00:00"/>
    <s v="Text"/>
    <s v="Check out our latest text on twitter!"/>
    <n v="4054"/>
    <n v="389"/>
    <n v="493"/>
    <n v="64864"/>
    <n v="64383"/>
    <n v="117"/>
    <x v="3"/>
    <s v="ModelYCampaign"/>
  </r>
  <r>
    <s v="P003"/>
    <s v="YouTube"/>
    <d v="2025-05-12T00:00:00"/>
    <s v="Reel"/>
    <s v="Check out our latest reel on youtube!"/>
    <n v="2795"/>
    <n v="105"/>
    <n v="49"/>
    <n v="53105"/>
    <n v="52307"/>
    <n v="204"/>
    <x v="2"/>
    <s v="FSDUpdate"/>
  </r>
  <r>
    <s v="P004"/>
    <s v="Instagram"/>
    <d v="2024-08-12T00:00:00"/>
    <s v="Story"/>
    <s v="Check out our latest story on instagram!"/>
    <n v="2404"/>
    <n v="363"/>
    <n v="138"/>
    <n v="19232"/>
    <n v="18636"/>
    <n v="128"/>
    <x v="4"/>
    <s v="SustainabilityDrive"/>
  </r>
  <r>
    <s v="P005"/>
    <s v="YouTube"/>
    <d v="2024-06-26T00:00:00"/>
    <s v="Reel"/>
    <s v="Check out our latest reel on youtube!"/>
    <n v="3557"/>
    <n v="687"/>
    <n v="424"/>
    <n v="71140"/>
    <n v="70701"/>
    <n v="224"/>
    <x v="4"/>
    <s v="CybertruckLaunch"/>
  </r>
  <r>
    <s v="P005"/>
    <s v="YouTube"/>
    <d v="2024-06-26T00:00:00"/>
    <s v="Reel"/>
    <s v="Check out our latest reel on youtube!"/>
    <n v="3557"/>
    <n v="687"/>
    <n v="424"/>
    <n v="71140"/>
    <n v="70701"/>
    <n v="224"/>
    <x v="2"/>
    <s v="CybertruckLaunch"/>
  </r>
  <r>
    <s v="P006"/>
    <s v="Facebook"/>
    <d v="2024-10-31T00:00:00"/>
    <s v="Carousel"/>
    <s v="Check out our latest carousel on facebook!"/>
    <n v="2945"/>
    <n v="930"/>
    <n v="355"/>
    <n v="23560"/>
    <n v="23275"/>
    <n v="256"/>
    <x v="2"/>
    <s v="ModelYCampaign"/>
  </r>
  <r>
    <s v="P007"/>
    <s v="Twitter"/>
    <d v="2024-06-24T00:00:00"/>
    <s v="Carousel"/>
    <s v="Check out our latest carousel on twitter!"/>
    <n v="3860"/>
    <n v="201"/>
    <n v="279"/>
    <n v="61760"/>
    <n v="61660"/>
    <n v="235"/>
    <x v="2"/>
    <s v="ModelYCampaign"/>
  </r>
  <r>
    <s v="P008"/>
    <s v="YouTube"/>
    <d v="2024-07-13T00:00:00"/>
    <s v="Image"/>
    <s v="Check out our latest image on youtube!"/>
    <n v="3929"/>
    <n v="262"/>
    <n v="278"/>
    <n v="43219"/>
    <n v="42841"/>
    <n v="39"/>
    <x v="4"/>
    <s v="SustainabilityDrive"/>
  </r>
  <r>
    <s v="P009"/>
    <s v="Facebook"/>
    <d v="2024-08-30T00:00:00"/>
    <s v="Text"/>
    <s v="Check out our latest text on facebook!"/>
    <n v="3784"/>
    <n v="808"/>
    <n v="404"/>
    <n v="56760"/>
    <n v="56343"/>
    <n v="131"/>
    <x v="2"/>
    <s v="ModelYCampaign"/>
  </r>
  <r>
    <s v="P010"/>
    <s v="Facebook"/>
    <d v="2025-03-11T00:00:00"/>
    <s v="Image"/>
    <s v="Check out our latest image on facebook!"/>
    <n v="4241"/>
    <n v="902"/>
    <n v="47"/>
    <n v="72097"/>
    <n v="71598"/>
    <n v="167"/>
    <x v="2"/>
    <s v="ModelYCampaign"/>
  </r>
  <r>
    <s v="P011"/>
    <s v="Instagram"/>
    <d v="2025-02-02T00:00:00"/>
    <s v="Story"/>
    <s v="Check out our latest story on instagram!"/>
    <n v="1792"/>
    <n v="614"/>
    <n v="497"/>
    <n v="25088"/>
    <n v="24675"/>
    <n v="65"/>
    <x v="0"/>
    <s v="SustainabilityDrive"/>
  </r>
  <r>
    <s v="P012"/>
    <s v="Facebook"/>
    <d v="2024-07-21T00:00:00"/>
    <s v="Reel"/>
    <s v="Check out our latest reel on facebook!"/>
    <n v="1946"/>
    <n v="686"/>
    <n v="377"/>
    <n v="23352"/>
    <n v="22982"/>
    <n v="213"/>
    <x v="0"/>
    <s v="FSDUpdate"/>
  </r>
  <r>
    <s v="P013"/>
    <s v="YouTube"/>
    <d v="2024-11-18T00:00:00"/>
    <s v="Carousel"/>
    <s v="Check out our latest carousel on youtube!"/>
    <n v="1171"/>
    <n v="286"/>
    <n v="231"/>
    <n v="22249"/>
    <n v="21282"/>
    <n v="114"/>
    <x v="4"/>
    <s v="CybertruckLaunch"/>
  </r>
  <r>
    <s v="P014"/>
    <s v="Facebook"/>
    <d v="2025-02-16T00:00:00"/>
    <s v="Story"/>
    <s v="Check out our latest story on facebook!"/>
    <n v="4242"/>
    <n v="555"/>
    <n v="131"/>
    <n v="33936"/>
    <n v="33802"/>
    <n v="265"/>
    <x v="0"/>
    <m/>
  </r>
  <r>
    <s v="P015"/>
    <s v="Facebook"/>
    <d v="2024-10-24T00:00:00"/>
    <s v="Video"/>
    <s v="Check out our latest video on facebook!"/>
    <n v="3888"/>
    <n v="604"/>
    <n v="128"/>
    <n v="77760"/>
    <n v="77167"/>
    <n v="20"/>
    <x v="0"/>
    <s v="CybertruckLaunch"/>
  </r>
  <r>
    <s v="P016"/>
    <s v="Facebook"/>
    <d v="2024-08-26T00:00:00"/>
    <s v="Text"/>
    <s v="Check out our latest text on facebook!"/>
    <n v="3452"/>
    <n v="377"/>
    <n v="360"/>
    <n v="55232"/>
    <n v="55075"/>
    <n v="87"/>
    <x v="0"/>
    <s v="FSDUpdate"/>
  </r>
  <r>
    <s v="P017"/>
    <s v="Facebook"/>
    <d v="2025-05-05T00:00:00"/>
    <s v="Text"/>
    <s v="Check out our latest text on facebook!"/>
    <n v="4441"/>
    <n v="511"/>
    <n v="70"/>
    <n v="53292"/>
    <n v="53082"/>
    <n v="159"/>
    <x v="4"/>
    <s v="SustainabilityDrive"/>
  </r>
  <r>
    <s v="P018"/>
    <s v="Instagram"/>
    <d v="2024-08-19T00:00:00"/>
    <s v="Reel"/>
    <s v="Check out our latest reel on instagram!"/>
    <n v="3000"/>
    <n v="382"/>
    <n v="325"/>
    <n v="36000"/>
    <n v="35819"/>
    <n v="19"/>
    <x v="0"/>
    <s v="CybertruckLaunch"/>
  </r>
  <r>
    <s v="P019"/>
    <s v="Instagram"/>
    <d v="2024-06-23T00:00:00"/>
    <s v="Video"/>
    <s v="Check out our latest video on instagram!"/>
    <n v="1071"/>
    <n v="519"/>
    <n v="22"/>
    <n v="16065"/>
    <n v="15865"/>
    <n v="103"/>
    <x v="2"/>
    <s v="SustainabilityDrive"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x v="2"/>
    <s v="CybertruckLaunch"/>
  </r>
  <r>
    <s v="P021"/>
    <s v="Instagram"/>
    <d v="2025-01-04T00:00:00"/>
    <s v="Reel"/>
    <s v="Check out our latest reel on instagram!"/>
    <n v="4838"/>
    <n v="640"/>
    <n v="128"/>
    <n v="72570"/>
    <n v="72396"/>
    <n v="83"/>
    <x v="0"/>
    <s v="SustainabilityDrive"/>
  </r>
  <r>
    <s v="P022"/>
    <s v="Facebook"/>
    <d v="2025-02-27T00:00:00"/>
    <s v="Text"/>
    <s v="Check out our latest text on facebook!"/>
    <n v="1570"/>
    <n v="187"/>
    <n v="260"/>
    <n v="25120"/>
    <n v="24613"/>
    <n v="133"/>
    <x v="2"/>
    <s v="SustainabilityDrive"/>
  </r>
  <r>
    <s v="P023"/>
    <s v="Facebook"/>
    <d v="2024-11-06T00:00:00"/>
    <s v="Video"/>
    <s v="Check out our latest video on facebook!"/>
    <n v="1606"/>
    <n v="547"/>
    <n v="316"/>
    <n v="32120"/>
    <n v="31736"/>
    <n v="225"/>
    <x v="2"/>
    <s v="ModelYCampaign"/>
  </r>
  <r>
    <s v="P023"/>
    <s v="Facebook"/>
    <d v="2024-11-06T00:00:00"/>
    <s v="Video"/>
    <s v="Check out our latest video on facebook!"/>
    <n v="1606"/>
    <n v="547"/>
    <n v="316"/>
    <n v="32120"/>
    <n v="31736"/>
    <n v="225"/>
    <x v="1"/>
    <s v="ModelYCampaign"/>
  </r>
  <r>
    <s v="P024"/>
    <s v="Facebook"/>
    <d v="2025-01-23T00:00:00"/>
    <s v="Video"/>
    <s v="Check out our latest video on facebook!"/>
    <n v="3961"/>
    <n v="761"/>
    <n v="131"/>
    <n v="67337"/>
    <n v="66615"/>
    <n v="161"/>
    <x v="0"/>
    <s v="FSDUpdate"/>
  </r>
  <r>
    <s v="P025"/>
    <s v="Twitter"/>
    <d v="2025-04-10T00:00:00"/>
    <s v="Carousel"/>
    <s v="Check out our latest carousel on twitter!"/>
    <n v="3128"/>
    <n v="211"/>
    <n v="197"/>
    <n v="59432"/>
    <n v="59182"/>
    <n v="238"/>
    <x v="4"/>
    <m/>
  </r>
  <r>
    <s v="P026"/>
    <s v="YouTube"/>
    <d v="2025-04-05T00:00:00"/>
    <s v="Reel"/>
    <s v="Check out our latest reel on youtube!"/>
    <n v="3009"/>
    <n v="413"/>
    <n v="358"/>
    <n v="42126"/>
    <n v="41309"/>
    <n v="211"/>
    <x v="0"/>
    <s v="ModelYCampaign"/>
  </r>
  <r>
    <s v="P027"/>
    <s v="YouTube"/>
    <d v="2024-09-17T00:00:00"/>
    <s v="Text"/>
    <s v="Check out our latest text on youtube!"/>
    <n v="2076"/>
    <n v="195"/>
    <n v="104"/>
    <n v="33216"/>
    <n v="32244"/>
    <n v="51"/>
    <x v="0"/>
    <s v="SustainabilityDrive"/>
  </r>
  <r>
    <s v="P028"/>
    <s v="Instagram"/>
    <d v="2025-03-04T00:00:00"/>
    <s v="Video"/>
    <s v="Check out our latest video on instagram!"/>
    <n v="432"/>
    <n v="624"/>
    <n v="123"/>
    <n v="6912"/>
    <n v="6259"/>
    <n v="79"/>
    <x v="0"/>
    <s v="SustainabilityDrive"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x v="0"/>
    <s v="FSDUpdate"/>
  </r>
  <r>
    <s v="P030"/>
    <s v="Instagram"/>
    <d v="2025-02-25T00:00:00"/>
    <s v="Video"/>
    <s v="Check out our latest video on instagram!"/>
    <n v="3095"/>
    <n v="39"/>
    <n v="78"/>
    <n v="55710"/>
    <n v="54808"/>
    <n v="93"/>
    <x v="4"/>
    <m/>
  </r>
  <r>
    <s v="P031"/>
    <s v="Instagram"/>
    <d v="2024-12-16T00:00:00"/>
    <s v="Text"/>
    <s v="Check out our latest text on instagram!"/>
    <n v="438"/>
    <n v="153"/>
    <n v="275"/>
    <n v="3066"/>
    <n v="2701"/>
    <n v="282"/>
    <x v="2"/>
    <s v="ModelYCampaign"/>
  </r>
  <r>
    <s v="P032"/>
    <s v="Twitter"/>
    <d v="2024-07-31T00:00:00"/>
    <s v="Carousel"/>
    <s v="Check out our latest carousel on twitter!"/>
    <n v="2278"/>
    <n v="10"/>
    <n v="321"/>
    <n v="13668"/>
    <n v="12676"/>
    <n v="275"/>
    <x v="4"/>
    <s v="CybertruckLaunch"/>
  </r>
  <r>
    <s v="P033"/>
    <s v="Facebook"/>
    <d v="2024-08-21T00:00:00"/>
    <s v="Image"/>
    <s v="Check out our latest image on facebook!"/>
    <n v="1407"/>
    <n v="400"/>
    <n v="351"/>
    <n v="16884"/>
    <n v="15954"/>
    <n v="113"/>
    <x v="2"/>
    <s v="CybertruckLaunch"/>
  </r>
  <r>
    <s v="P034"/>
    <s v="Facebook"/>
    <d v="2025-03-26T00:00:00"/>
    <s v="Text"/>
    <s v="Check out our latest text on facebook!"/>
    <n v="1652"/>
    <n v="89"/>
    <n v="357"/>
    <n v="29736"/>
    <n v="28771"/>
    <n v="215"/>
    <x v="2"/>
    <s v="FSDUpdate"/>
  </r>
  <r>
    <s v="P035"/>
    <s v="Instagram"/>
    <d v="2024-11-30T00:00:00"/>
    <s v="Video"/>
    <s v="Check out our latest video on instagram!"/>
    <n v="3775"/>
    <n v="16"/>
    <n v="239"/>
    <n v="33975"/>
    <n v="33310"/>
    <n v="271"/>
    <x v="0"/>
    <s v="ModelYCampaign"/>
  </r>
  <r>
    <s v="P036"/>
    <s v="Instagram"/>
    <d v="2025-04-19T00:00:00"/>
    <s v="Story"/>
    <s v="Check out our latest story on instagram!"/>
    <n v="4518"/>
    <n v="285"/>
    <n v="383"/>
    <n v="67770"/>
    <n v="67621"/>
    <n v="31"/>
    <x v="4"/>
    <s v="ModelYCampaign"/>
  </r>
  <r>
    <s v="P037"/>
    <s v="Facebook"/>
    <d v="2025-01-06T00:00:00"/>
    <s v="Carousel"/>
    <s v="Check out our latest carousel on facebook!"/>
    <n v="3024"/>
    <n v="925"/>
    <n v="350"/>
    <n v="24192"/>
    <n v="23518"/>
    <n v="36"/>
    <x v="4"/>
    <s v="ModelYCampaign"/>
  </r>
  <r>
    <s v="P038"/>
    <s v="YouTube"/>
    <d v="2025-02-17T00:00:00"/>
    <s v="Reel"/>
    <s v="Check out our latest reel on youtube!"/>
    <n v="3138"/>
    <n v="123"/>
    <n v="291"/>
    <n v="28242"/>
    <n v="27550"/>
    <n v="87"/>
    <x v="2"/>
    <s v="SustainabilityDrive"/>
  </r>
  <r>
    <s v="P039"/>
    <s v="Facebook"/>
    <d v="2024-11-25T00:00:00"/>
    <s v="Image"/>
    <s v="Check out our latest image on facebook!"/>
    <n v="3564"/>
    <n v="629"/>
    <n v="177"/>
    <n v="60588"/>
    <n v="59627"/>
    <n v="92"/>
    <x v="2"/>
    <m/>
  </r>
  <r>
    <s v="P040"/>
    <s v="Twitter"/>
    <d v="2025-03-07T00:00:00"/>
    <s v="Image"/>
    <s v="Check out our latest image on twitter!"/>
    <n v="4750"/>
    <n v="151"/>
    <n v="415"/>
    <n v="38000"/>
    <n v="37792"/>
    <n v="299"/>
    <x v="4"/>
    <s v="SustainabilityDrive"/>
  </r>
  <r>
    <s v="P041"/>
    <s v="Instagram"/>
    <d v="2025-03-08T00:00:00"/>
    <s v="Reel"/>
    <s v="Check out our latest reel on instagram!"/>
    <n v="456"/>
    <n v="629"/>
    <n v="428"/>
    <n v="8208"/>
    <n v="7377"/>
    <n v="205"/>
    <x v="0"/>
    <s v="SustainabilityDrive"/>
  </r>
  <r>
    <s v="P042"/>
    <s v="YouTube"/>
    <d v="2025-03-05T00:00:00"/>
    <s v="Reel"/>
    <s v="Check out our latest reel on youtube!"/>
    <n v="1543"/>
    <n v="820"/>
    <n v="333"/>
    <n v="12344"/>
    <n v="11496"/>
    <n v="241"/>
    <x v="4"/>
    <m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x v="2"/>
    <s v="FSDUpdate"/>
  </r>
  <r>
    <s v="P044"/>
    <s v="Twitter"/>
    <d v="2025-03-02T00:00:00"/>
    <s v="Image"/>
    <s v="Check out our latest image on twitter!"/>
    <n v="2358"/>
    <n v="784"/>
    <n v="344"/>
    <n v="35370"/>
    <n v="34475"/>
    <n v="216"/>
    <x v="2"/>
    <m/>
  </r>
  <r>
    <s v="P045"/>
    <s v="Facebook"/>
    <d v="2024-11-01T00:00:00"/>
    <s v="Video"/>
    <s v="Check out our latest video on facebook!"/>
    <n v="3371"/>
    <n v="106"/>
    <n v="327"/>
    <n v="50565"/>
    <n v="49816"/>
    <n v="176"/>
    <x v="0"/>
    <s v="CybertruckLaunch"/>
  </r>
  <r>
    <s v="P046"/>
    <s v="Twitter"/>
    <d v="2025-05-02T00:00:00"/>
    <s v="Video"/>
    <s v="Check out our latest video on twitter!"/>
    <n v="1108"/>
    <n v="177"/>
    <n v="212"/>
    <n v="8864"/>
    <n v="8710"/>
    <n v="97"/>
    <x v="2"/>
    <s v="SustainabilityDrive"/>
  </r>
  <r>
    <s v="P047"/>
    <s v="Twitter"/>
    <d v="2025-02-24T00:00:00"/>
    <s v="Carousel"/>
    <s v="Check out our latest carousel on twitter!"/>
    <n v="2704"/>
    <n v="752"/>
    <n v="153"/>
    <n v="21632"/>
    <n v="20792"/>
    <n v="127"/>
    <x v="0"/>
    <m/>
  </r>
  <r>
    <s v="P048"/>
    <s v="Twitter"/>
    <d v="2025-03-11T00:00:00"/>
    <s v="Story"/>
    <s v="Check out our latest story on twitter!"/>
    <n v="1950"/>
    <n v="295"/>
    <n v="478"/>
    <n v="37050"/>
    <n v="36272"/>
    <n v="119"/>
    <x v="2"/>
    <m/>
  </r>
  <r>
    <s v="P049"/>
    <s v="Twitter"/>
    <d v="2024-06-10T00:00:00"/>
    <s v="Story"/>
    <s v="Check out our latest story on twitter!"/>
    <n v="2164"/>
    <n v="549"/>
    <n v="274"/>
    <n v="28132"/>
    <n v="27361"/>
    <n v="177"/>
    <x v="2"/>
    <s v="SustainabilityDrive"/>
  </r>
  <r>
    <s v="P050"/>
    <s v="YouTube"/>
    <d v="2024-07-03T00:00:00"/>
    <s v="Story"/>
    <s v="Check out our latest story on youtube!"/>
    <n v="2754"/>
    <n v="130"/>
    <n v="90"/>
    <n v="22032"/>
    <n v="21288"/>
    <n v="112"/>
    <x v="2"/>
    <s v="FSDUpdate"/>
  </r>
  <r>
    <s v="P051"/>
    <s v="Facebook"/>
    <d v="2024-06-13T00:00:00"/>
    <s v="Carousel"/>
    <s v="Check out our latest carousel on facebook!"/>
    <n v="2200"/>
    <n v="504"/>
    <n v="239"/>
    <n v="37400"/>
    <n v="36938"/>
    <n v="225"/>
    <x v="0"/>
    <s v="ModelYCampaign"/>
  </r>
  <r>
    <s v="P052"/>
    <s v="Facebook"/>
    <d v="2025-01-03T00:00:00"/>
    <s v="Image"/>
    <s v="Check out our latest image on facebook!"/>
    <n v="947"/>
    <n v="338"/>
    <n v="350"/>
    <n v="10417"/>
    <n v="9730"/>
    <n v="34"/>
    <x v="2"/>
    <s v="SustainabilityDrive"/>
  </r>
  <r>
    <s v="P053"/>
    <s v="YouTube"/>
    <d v="2025-02-24T00:00:00"/>
    <s v="Carousel"/>
    <s v="Check out our latest carousel on youtube!"/>
    <n v="804"/>
    <n v="639"/>
    <n v="43"/>
    <n v="4020"/>
    <n v="3144"/>
    <n v="11"/>
    <x v="4"/>
    <m/>
  </r>
  <r>
    <s v="P053"/>
    <s v="YouTube"/>
    <d v="2025-02-24T00:00:00"/>
    <s v="Carousel"/>
    <s v="Check out our latest carousel on youtube!"/>
    <n v="804"/>
    <n v="639"/>
    <n v="43"/>
    <n v="4020"/>
    <n v="3144"/>
    <n v="11"/>
    <x v="3"/>
    <m/>
  </r>
  <r>
    <s v="P054"/>
    <s v="YouTube"/>
    <d v="2025-03-13T00:00:00"/>
    <s v="Carousel"/>
    <s v="Check out our latest carousel on youtube!"/>
    <n v="1686"/>
    <n v="904"/>
    <n v="472"/>
    <n v="18546"/>
    <n v="18171"/>
    <n v="52"/>
    <x v="0"/>
    <s v="ModelYCampaign"/>
  </r>
  <r>
    <s v="P055"/>
    <s v="Facebook"/>
    <d v="2024-06-17T00:00:00"/>
    <s v="Image"/>
    <s v="Check out our latest image on facebook!"/>
    <n v="1226"/>
    <n v="119"/>
    <n v="7"/>
    <n v="14712"/>
    <n v="14049"/>
    <n v="123"/>
    <x v="4"/>
    <s v="SustainabilityDrive"/>
  </r>
  <r>
    <s v="P056"/>
    <s v="Facebook"/>
    <d v="2024-12-18T00:00:00"/>
    <s v="Carousel"/>
    <s v="Check out our latest carousel on facebook!"/>
    <n v="2946"/>
    <n v="498"/>
    <n v="367"/>
    <n v="29460"/>
    <n v="28527"/>
    <n v="60"/>
    <x v="0"/>
    <s v="FSDUpdate"/>
  </r>
  <r>
    <s v="P057"/>
    <s v="Twitter"/>
    <d v="2024-10-21T00:00:00"/>
    <s v="Video"/>
    <s v="Check out our latest video on twitter!"/>
    <n v="2825"/>
    <n v="535"/>
    <n v="295"/>
    <n v="45200"/>
    <n v="44739"/>
    <n v="169"/>
    <x v="2"/>
    <s v="CybertruckLaunch"/>
  </r>
  <r>
    <s v="P058"/>
    <s v="Instagram"/>
    <d v="2025-04-15T00:00:00"/>
    <s v="Reel"/>
    <s v="Check out our latest reel on instagram!"/>
    <n v="103"/>
    <n v="770"/>
    <n v="19"/>
    <n v="1030"/>
    <n v="410"/>
    <n v="262"/>
    <x v="2"/>
    <s v="SustainabilityDrive"/>
  </r>
  <r>
    <s v="P059"/>
    <s v="Instagram"/>
    <d v="2024-06-22T00:00:00"/>
    <s v="Text"/>
    <s v="Check out our latest text on instagram!"/>
    <n v="2180"/>
    <n v="263"/>
    <n v="387"/>
    <n v="30520"/>
    <n v="30059"/>
    <n v="174"/>
    <x v="4"/>
    <m/>
  </r>
  <r>
    <s v="P060"/>
    <s v="Instagram"/>
    <d v="2025-01-28T00:00:00"/>
    <s v="Video"/>
    <s v="Check out our latest video on instagram!"/>
    <n v="904"/>
    <n v="973"/>
    <n v="63"/>
    <n v="11752"/>
    <n v="11580"/>
    <n v="84"/>
    <x v="4"/>
    <s v="FSDUpdate"/>
  </r>
  <r>
    <s v="P060"/>
    <s v="Instagram"/>
    <d v="2025-01-28T00:00:00"/>
    <s v="Video"/>
    <s v="Check out our latest video on instagram!"/>
    <n v="904"/>
    <n v="973"/>
    <n v="63"/>
    <n v="11752"/>
    <n v="11580"/>
    <n v="84"/>
    <x v="2"/>
    <s v="FSDUpdate"/>
  </r>
  <r>
    <s v="P060"/>
    <s v="Instagram"/>
    <d v="2025-01-28T00:00:00"/>
    <s v="Video"/>
    <s v="Check out our latest video on instagram!"/>
    <n v="904"/>
    <n v="973"/>
    <n v="63"/>
    <n v="11752"/>
    <n v="11580"/>
    <n v="84"/>
    <x v="1"/>
    <s v="FSDUpdate"/>
  </r>
  <r>
    <s v="P061"/>
    <s v="Twitter"/>
    <d v="2024-09-05T00:00:00"/>
    <s v="Video"/>
    <s v="Check out our latest video on twitter!"/>
    <n v="4886"/>
    <n v="983"/>
    <n v="409"/>
    <n v="43974"/>
    <n v="43239"/>
    <n v="65"/>
    <x v="2"/>
    <s v="CybertruckLaunch"/>
  </r>
  <r>
    <s v="P062"/>
    <s v="Twitter"/>
    <d v="2024-11-22T00:00:00"/>
    <s v="Carousel"/>
    <s v="Check out our latest carousel on twitter!"/>
    <n v="53"/>
    <n v="81"/>
    <n v="379"/>
    <n v="954"/>
    <n v="7"/>
    <n v="148"/>
    <x v="2"/>
    <s v="FSDUpdate"/>
  </r>
  <r>
    <s v="P063"/>
    <s v="Twitter"/>
    <d v="2024-07-31T00:00:00"/>
    <s v="Carousel"/>
    <s v="Check out our latest carousel on twitter!"/>
    <n v="4507"/>
    <n v="217"/>
    <n v="13"/>
    <n v="90140"/>
    <n v="89591"/>
    <n v="125"/>
    <x v="0"/>
    <s v="FSDUpdate"/>
  </r>
  <r>
    <s v="P064"/>
    <s v="Facebook"/>
    <d v="2024-08-17T00:00:00"/>
    <s v="Image"/>
    <s v="Check out our latest image on facebook!"/>
    <n v="2878"/>
    <n v="248"/>
    <n v="416"/>
    <n v="43170"/>
    <n v="42667"/>
    <n v="75"/>
    <x v="0"/>
    <s v="FSDUpdate"/>
  </r>
  <r>
    <s v="P065"/>
    <s v="Instagram"/>
    <d v="2025-03-28T00:00:00"/>
    <s v="Story"/>
    <s v="Check out our latest story on instagram!"/>
    <n v="1881"/>
    <n v="501"/>
    <n v="99"/>
    <n v="20691"/>
    <n v="19987"/>
    <n v="289"/>
    <x v="4"/>
    <m/>
  </r>
  <r>
    <s v="P066"/>
    <s v="Twitter"/>
    <d v="2024-07-26T00:00:00"/>
    <s v="Carousel"/>
    <s v="Check out our latest carousel on twitter!"/>
    <n v="432"/>
    <n v="171"/>
    <n v="280"/>
    <n v="3024"/>
    <n v="2285"/>
    <n v="184"/>
    <x v="4"/>
    <s v="CybertruckLaunch"/>
  </r>
  <r>
    <s v="P067"/>
    <s v="Facebook"/>
    <d v="2025-03-29T00:00:00"/>
    <s v="Carousel"/>
    <s v="Check out our latest carousel on facebook!"/>
    <n v="4712"/>
    <n v="568"/>
    <n v="127"/>
    <n v="84816"/>
    <n v="84691"/>
    <n v="100"/>
    <x v="4"/>
    <s v="FSDUpdate"/>
  </r>
  <r>
    <s v="P068"/>
    <s v="Instagram"/>
    <d v="2024-12-08T00:00:00"/>
    <s v="Story"/>
    <s v="Check out our latest story on instagram!"/>
    <n v="2610"/>
    <n v="126"/>
    <n v="288"/>
    <n v="15660"/>
    <n v="15145"/>
    <n v="73"/>
    <x v="4"/>
    <m/>
  </r>
  <r>
    <s v="P069"/>
    <s v="Twitter"/>
    <d v="2025-03-08T00:00:00"/>
    <s v="Text"/>
    <s v="Check out our latest text on twitter!"/>
    <n v="1292"/>
    <n v="626"/>
    <n v="496"/>
    <n v="25840"/>
    <n v="24916"/>
    <n v="149"/>
    <x v="0"/>
    <s v="FSDUpdate"/>
  </r>
  <r>
    <s v="P070"/>
    <s v="Facebook"/>
    <d v="2025-04-02T00:00:00"/>
    <s v="Video"/>
    <s v="Check out our latest video on facebook!"/>
    <n v="199"/>
    <n v="772"/>
    <n v="400"/>
    <n v="3582"/>
    <n v="2988"/>
    <n v="43"/>
    <x v="2"/>
    <m/>
  </r>
  <r>
    <s v="P071"/>
    <s v="YouTube"/>
    <d v="2024-09-02T00:00:00"/>
    <s v="Carousel"/>
    <s v="Check out our latest carousel on youtube!"/>
    <n v="2551"/>
    <n v="915"/>
    <n v="205"/>
    <n v="30612"/>
    <n v="30360"/>
    <n v="227"/>
    <x v="2"/>
    <s v="ModelYCampaign"/>
  </r>
  <r>
    <s v="P072"/>
    <s v="YouTube"/>
    <d v="2025-03-03T00:00:00"/>
    <s v="Reel"/>
    <s v="Check out our latest reel on youtube!"/>
    <n v="296"/>
    <n v="60"/>
    <n v="141"/>
    <n v="5624"/>
    <n v="5239"/>
    <n v="88"/>
    <x v="4"/>
    <s v="ModelYCampaign"/>
  </r>
  <r>
    <s v="P073"/>
    <s v="Facebook"/>
    <d v="2024-10-18T00:00:00"/>
    <s v="Story"/>
    <s v="Check out our latest story on facebook!"/>
    <n v="4126"/>
    <n v="426"/>
    <n v="486"/>
    <n v="78394"/>
    <n v="77798"/>
    <n v="88"/>
    <x v="0"/>
    <s v="SustainabilityDrive"/>
  </r>
  <r>
    <s v="P074"/>
    <s v="YouTube"/>
    <d v="2024-10-28T00:00:00"/>
    <s v="Reel"/>
    <s v="Check out our latest reel on youtube!"/>
    <n v="1855"/>
    <n v="200"/>
    <n v="174"/>
    <n v="16695"/>
    <n v="16330"/>
    <n v="123"/>
    <x v="2"/>
    <s v="FSDUpdate"/>
  </r>
  <r>
    <s v="P075"/>
    <s v="Instagram"/>
    <d v="2024-08-01T00:00:00"/>
    <s v="Reel"/>
    <s v="Check out our latest reel on instagram!"/>
    <n v="1674"/>
    <n v="929"/>
    <n v="37"/>
    <n v="21762"/>
    <n v="20998"/>
    <n v="255"/>
    <x v="2"/>
    <s v="SustainabilityDrive"/>
  </r>
  <r>
    <s v="P076"/>
    <s v="Twitter"/>
    <d v="2024-11-07T00:00:00"/>
    <s v="Story"/>
    <s v="Check out our latest story on twitter!"/>
    <n v="1121"/>
    <n v="135"/>
    <n v="18"/>
    <n v="15694"/>
    <n v="14957"/>
    <n v="99"/>
    <x v="2"/>
    <s v="SustainabilityDrive"/>
  </r>
  <r>
    <s v="P077"/>
    <s v="Facebook"/>
    <d v="2025-03-04T00:00:00"/>
    <s v="Story"/>
    <s v="Check out our latest story on facebook!"/>
    <n v="1249"/>
    <n v="116"/>
    <n v="420"/>
    <n v="8743"/>
    <n v="8538"/>
    <n v="63"/>
    <x v="2"/>
    <m/>
  </r>
  <r>
    <s v="P078"/>
    <s v="Twitter"/>
    <d v="2024-06-17T00:00:00"/>
    <s v="Image"/>
    <s v="Check out our latest image on twitter!"/>
    <n v="954"/>
    <n v="324"/>
    <n v="288"/>
    <n v="19080"/>
    <n v="18859"/>
    <n v="21"/>
    <x v="0"/>
    <s v="SustainabilityDrive"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x v="4"/>
    <s v="ModelYCampaign"/>
  </r>
  <r>
    <s v="P080"/>
    <s v="Instagram"/>
    <d v="2024-06-13T00:00:00"/>
    <s v="Story"/>
    <s v="Check out our latest story on instagram!"/>
    <n v="2103"/>
    <n v="892"/>
    <n v="103"/>
    <n v="39957"/>
    <n v="39466"/>
    <n v="28"/>
    <x v="0"/>
    <m/>
  </r>
  <r>
    <s v="P081"/>
    <s v="Instagram"/>
    <d v="2024-10-19T00:00:00"/>
    <s v="Story"/>
    <s v="Check out our latest story on instagram!"/>
    <n v="1816"/>
    <n v="29"/>
    <n v="41"/>
    <n v="19976"/>
    <n v="19262"/>
    <n v="283"/>
    <x v="2"/>
    <s v="FSDUpdate"/>
  </r>
  <r>
    <s v="P082"/>
    <s v="Instagram"/>
    <d v="2024-07-24T00:00:00"/>
    <s v="Image"/>
    <s v="Check out our latest image on instagram!"/>
    <n v="725"/>
    <n v="88"/>
    <n v="428"/>
    <n v="14500"/>
    <n v="13637"/>
    <n v="200"/>
    <x v="0"/>
    <s v="FSDUpdate"/>
  </r>
  <r>
    <s v="P082"/>
    <s v="Instagram"/>
    <d v="2024-07-24T00:00:00"/>
    <s v="Image"/>
    <s v="Check out our latest image on instagram!"/>
    <n v="725"/>
    <n v="88"/>
    <n v="428"/>
    <n v="14500"/>
    <n v="13637"/>
    <n v="200"/>
    <x v="2"/>
    <s v="FSDUpdate"/>
  </r>
  <r>
    <s v="P082"/>
    <s v="Instagram"/>
    <d v="2024-07-24T00:00:00"/>
    <s v="Image"/>
    <s v="Check out our latest image on instagram!"/>
    <n v="725"/>
    <n v="88"/>
    <n v="428"/>
    <n v="14500"/>
    <n v="13637"/>
    <n v="200"/>
    <x v="1"/>
    <s v="FSDUpdate"/>
  </r>
  <r>
    <s v="P083"/>
    <s v="YouTube"/>
    <d v="2024-10-15T00:00:00"/>
    <s v="Video"/>
    <s v="Check out our latest video on youtube!"/>
    <n v="1094"/>
    <n v="472"/>
    <n v="21"/>
    <n v="9846"/>
    <n v="9609"/>
    <n v="112"/>
    <x v="4"/>
    <m/>
  </r>
  <r>
    <s v="P084"/>
    <s v="Facebook"/>
    <d v="2024-12-09T00:00:00"/>
    <s v="Image"/>
    <s v="Check out our latest image on facebook!"/>
    <n v="1841"/>
    <n v="851"/>
    <n v="342"/>
    <n v="34979"/>
    <n v="34154"/>
    <n v="255"/>
    <x v="0"/>
    <s v="SustainabilityDrive"/>
  </r>
  <r>
    <s v="P085"/>
    <s v="Instagram"/>
    <d v="2025-04-19T00:00:00"/>
    <s v="Image"/>
    <s v="Check out our latest image on instagram!"/>
    <n v="4177"/>
    <n v="569"/>
    <n v="55"/>
    <n v="25062"/>
    <n v="24847"/>
    <n v="230"/>
    <x v="0"/>
    <s v="CybertruckLaunch"/>
  </r>
  <r>
    <s v="P086"/>
    <s v="YouTube"/>
    <d v="2025-01-27T00:00:00"/>
    <s v="Text"/>
    <s v="Check out our latest text on youtube!"/>
    <n v="3428"/>
    <n v="305"/>
    <n v="85"/>
    <n v="58276"/>
    <n v="58052"/>
    <n v="242"/>
    <x v="4"/>
    <s v="SustainabilityDrive"/>
  </r>
  <r>
    <s v="P086"/>
    <s v="YouTube"/>
    <d v="2025-01-27T00:00:00"/>
    <s v="Text"/>
    <s v="Check out our latest text on youtube!"/>
    <n v="3428"/>
    <n v="305"/>
    <n v="85"/>
    <n v="58276"/>
    <n v="58052"/>
    <n v="242"/>
    <x v="3"/>
    <s v="SustainabilityDrive"/>
  </r>
  <r>
    <s v="P087"/>
    <s v="Twitter"/>
    <d v="2024-06-06T00:00:00"/>
    <s v="Video"/>
    <s v="Check out our latest video on twitter!"/>
    <n v="1436"/>
    <n v="765"/>
    <n v="496"/>
    <n v="12924"/>
    <n v="12701"/>
    <n v="197"/>
    <x v="0"/>
    <s v="FSDUpdate"/>
  </r>
  <r>
    <s v="P088"/>
    <s v="Facebook"/>
    <d v="2024-07-07T00:00:00"/>
    <s v="Story"/>
    <s v="Check out our latest story on facebook!"/>
    <n v="302"/>
    <n v="47"/>
    <n v="430"/>
    <n v="5738"/>
    <n v="4890"/>
    <n v="25"/>
    <x v="2"/>
    <s v="SustainabilityDrive"/>
  </r>
  <r>
    <s v="P089"/>
    <s v="Twitter"/>
    <d v="2025-01-10T00:00:00"/>
    <s v="Image"/>
    <s v="Check out our latest image on twitter!"/>
    <n v="2214"/>
    <n v="249"/>
    <n v="152"/>
    <n v="15498"/>
    <n v="14800"/>
    <n v="180"/>
    <x v="4"/>
    <m/>
  </r>
  <r>
    <s v="P090"/>
    <s v="Instagram"/>
    <d v="2024-06-03T00:00:00"/>
    <s v="Image"/>
    <s v="Check out our latest image on instagram!"/>
    <n v="3861"/>
    <n v="960"/>
    <n v="101"/>
    <n v="69498"/>
    <n v="68817"/>
    <n v="297"/>
    <x v="2"/>
    <s v="SustainabilityDrive"/>
  </r>
  <r>
    <s v="P091"/>
    <s v="Facebook"/>
    <d v="2025-03-24T00:00:00"/>
    <s v="Image"/>
    <s v="Check out our latest image on facebook!"/>
    <n v="1263"/>
    <n v="397"/>
    <n v="357"/>
    <n v="25260"/>
    <n v="24615"/>
    <n v="137"/>
    <x v="4"/>
    <s v="SustainabilityDrive"/>
  </r>
  <r>
    <s v="P092"/>
    <s v="Twitter"/>
    <d v="2024-10-21T00:00:00"/>
    <s v="Story"/>
    <s v="Check out our latest story on twitter!"/>
    <n v="3801"/>
    <n v="967"/>
    <n v="401"/>
    <n v="38010"/>
    <n v="37625"/>
    <n v="236"/>
    <x v="0"/>
    <s v="FSDUpdate"/>
  </r>
  <r>
    <s v="P093"/>
    <s v="Instagram"/>
    <d v="2024-12-11T00:00:00"/>
    <s v="Video"/>
    <s v="Check out our latest video on instagram!"/>
    <n v="1431"/>
    <n v="951"/>
    <n v="26"/>
    <n v="8586"/>
    <n v="8396"/>
    <n v="150"/>
    <x v="4"/>
    <s v="FSDUpdate"/>
  </r>
  <r>
    <s v="P094"/>
    <s v="Instagram"/>
    <d v="2024-11-07T00:00:00"/>
    <s v="Image"/>
    <s v="Check out our latest image on instagram!"/>
    <n v="2647"/>
    <n v="304"/>
    <n v="170"/>
    <n v="18529"/>
    <n v="17841"/>
    <n v="46"/>
    <x v="0"/>
    <s v="FSDUpdate"/>
  </r>
  <r>
    <s v="P095"/>
    <s v="Instagram"/>
    <d v="2024-11-08T00:00:00"/>
    <s v="Text"/>
    <s v="Check out our latest text on instagram!"/>
    <n v="3182"/>
    <n v="559"/>
    <n v="160"/>
    <n v="57276"/>
    <n v="56890"/>
    <n v="163"/>
    <x v="0"/>
    <s v="SustainabilityDrive"/>
  </r>
  <r>
    <s v="P096"/>
    <s v="Twitter"/>
    <d v="2024-09-10T00:00:00"/>
    <s v="Image"/>
    <s v="Check out our latest image on twitter!"/>
    <n v="1238"/>
    <n v="366"/>
    <n v="444"/>
    <n v="19808"/>
    <n v="19334"/>
    <n v="123"/>
    <x v="0"/>
    <m/>
  </r>
  <r>
    <s v="P097"/>
    <s v="Instagram"/>
    <d v="2024-08-13T00:00:00"/>
    <s v="Image"/>
    <s v="Check out our latest image on instagram!"/>
    <n v="4739"/>
    <n v="527"/>
    <n v="135"/>
    <n v="61607"/>
    <n v="61333"/>
    <n v="36"/>
    <x v="2"/>
    <s v="ModelYCampaign"/>
  </r>
  <r>
    <s v="P097"/>
    <s v="Instagram"/>
    <d v="2024-08-13T00:00:00"/>
    <s v="Image"/>
    <s v="Check out our latest image on instagram!"/>
    <n v="4739"/>
    <n v="527"/>
    <n v="135"/>
    <n v="61607"/>
    <n v="61333"/>
    <n v="36"/>
    <x v="1"/>
    <s v="ModelYCampaign"/>
  </r>
  <r>
    <s v="P098"/>
    <s v="Twitter"/>
    <d v="2024-06-10T00:00:00"/>
    <s v="Story"/>
    <s v="Check out our latest story on twitter!"/>
    <n v="1575"/>
    <n v="771"/>
    <n v="486"/>
    <n v="25200"/>
    <n v="24826"/>
    <n v="17"/>
    <x v="0"/>
    <s v="SustainabilityDrive"/>
  </r>
  <r>
    <s v="P099"/>
    <s v="YouTube"/>
    <d v="2024-07-02T00:00:00"/>
    <s v="Carousel"/>
    <s v="Check out our latest carousel on youtube!"/>
    <n v="4171"/>
    <n v="548"/>
    <n v="86"/>
    <n v="66736"/>
    <n v="66634"/>
    <n v="173"/>
    <x v="0"/>
    <s v="FSDUpdate"/>
  </r>
  <r>
    <s v="P100"/>
    <s v="YouTube"/>
    <d v="2025-02-10T00:00:00"/>
    <s v="Video"/>
    <s v="Check out our latest video on youtube!"/>
    <n v="1766"/>
    <n v="92"/>
    <n v="424"/>
    <n v="24724"/>
    <n v="24333"/>
    <n v="52"/>
    <x v="4"/>
    <m/>
  </r>
  <r>
    <s v="P101"/>
    <s v="YouTube"/>
    <d v="2024-10-18T00:00:00"/>
    <s v="Video"/>
    <s v="Check out our latest video on youtube!"/>
    <n v="4450"/>
    <n v="983"/>
    <n v="143"/>
    <n v="75650"/>
    <n v="75008"/>
    <n v="12"/>
    <x v="0"/>
    <s v="FSDUpdate"/>
  </r>
  <r>
    <s v="P102"/>
    <s v="Twitter"/>
    <d v="2024-09-18T00:00:00"/>
    <s v="Reel"/>
    <s v="Check out our latest reel on twitter!"/>
    <n v="1000"/>
    <n v="978"/>
    <n v="162"/>
    <n v="6000"/>
    <n v="5221"/>
    <n v="223"/>
    <x v="4"/>
    <s v="ModelYCampaign"/>
  </r>
  <r>
    <s v="P103"/>
    <s v="Facebook"/>
    <d v="2024-06-11T00:00:00"/>
    <s v="Image"/>
    <s v="Check out our latest image on facebook!"/>
    <n v="3689"/>
    <n v="48"/>
    <n v="306"/>
    <n v="40579"/>
    <n v="39588"/>
    <n v="212"/>
    <x v="4"/>
    <s v="ModelYCampaign"/>
  </r>
  <r>
    <s v="P104"/>
    <s v="YouTube"/>
    <d v="2025-03-23T00:00:00"/>
    <s v="Story"/>
    <s v="Check out our latest story on youtube!"/>
    <n v="3655"/>
    <n v="568"/>
    <n v="286"/>
    <n v="32895"/>
    <n v="32015"/>
    <n v="199"/>
    <x v="2"/>
    <s v="FSDUpdate"/>
  </r>
  <r>
    <s v="P105"/>
    <s v="Instagram"/>
    <d v="2024-06-14T00:00:00"/>
    <s v="Carousel"/>
    <s v="Check out our latest carousel on instagram!"/>
    <n v="498"/>
    <n v="38"/>
    <n v="42"/>
    <n v="4482"/>
    <n v="3647"/>
    <n v="32"/>
    <x v="0"/>
    <s v="CybertruckLaunch"/>
  </r>
  <r>
    <s v="P106"/>
    <s v="Instagram"/>
    <d v="2025-02-04T00:00:00"/>
    <s v="Image"/>
    <s v="Check out our latest image on instagram!"/>
    <n v="4619"/>
    <n v="821"/>
    <n v="499"/>
    <n v="69285"/>
    <n v="69141"/>
    <n v="298"/>
    <x v="2"/>
    <s v="SustainabilityDrive"/>
  </r>
  <r>
    <s v="P107"/>
    <s v="YouTube"/>
    <d v="2024-06-21T00:00:00"/>
    <s v="Image"/>
    <s v="Check out our latest image on youtube!"/>
    <n v="4832"/>
    <n v="893"/>
    <n v="10"/>
    <n v="91808"/>
    <n v="91296"/>
    <n v="182"/>
    <x v="2"/>
    <m/>
  </r>
  <r>
    <s v="P108"/>
    <s v="Twitter"/>
    <d v="2025-03-25T00:00:00"/>
    <s v="Video"/>
    <s v="Check out our latest video on twitter!"/>
    <n v="4050"/>
    <n v="871"/>
    <n v="347"/>
    <n v="52650"/>
    <n v="51755"/>
    <n v="209"/>
    <x v="2"/>
    <s v="ModelYCampaign"/>
  </r>
  <r>
    <s v="P109"/>
    <s v="Twitter"/>
    <d v="2024-08-08T00:00:00"/>
    <s v="Story"/>
    <s v="Check out our latest story on twitter!"/>
    <n v="3649"/>
    <n v="215"/>
    <n v="413"/>
    <n v="25543"/>
    <n v="24963"/>
    <n v="167"/>
    <x v="0"/>
    <s v="FSDUpdate"/>
  </r>
  <r>
    <s v="P110"/>
    <s v="Instagram"/>
    <d v="2024-07-29T00:00:00"/>
    <s v="Reel"/>
    <s v="Check out our latest reel on instagram!"/>
    <n v="3523"/>
    <n v="753"/>
    <n v="482"/>
    <n v="38753"/>
    <n v="38579"/>
    <n v="270"/>
    <x v="4"/>
    <s v="ModelYCampaign"/>
  </r>
  <r>
    <s v="P111"/>
    <s v="YouTube"/>
    <d v="2024-11-23T00:00:00"/>
    <s v="Image"/>
    <s v="Check out our latest image on youtube!"/>
    <n v="2719"/>
    <n v="17"/>
    <n v="285"/>
    <n v="40785"/>
    <n v="40281"/>
    <n v="40"/>
    <x v="2"/>
    <s v="ModelYCampaign"/>
  </r>
  <r>
    <s v="P112"/>
    <s v="Twitter"/>
    <d v="2024-10-05T00:00:00"/>
    <s v="Story"/>
    <s v="Check out our latest story on twitter!"/>
    <n v="1957"/>
    <n v="877"/>
    <n v="238"/>
    <n v="17613"/>
    <n v="16865"/>
    <n v="297"/>
    <x v="0"/>
    <s v="FSDUpdate"/>
  </r>
  <r>
    <s v="P113"/>
    <s v="Twitter"/>
    <d v="2024-10-02T00:00:00"/>
    <s v="Carousel"/>
    <s v="Check out our latest carousel on twitter!"/>
    <n v="4419"/>
    <n v="236"/>
    <n v="369"/>
    <n v="44190"/>
    <n v="43582"/>
    <n v="10"/>
    <x v="4"/>
    <s v="CybertruckLaunch"/>
  </r>
  <r>
    <s v="P114"/>
    <s v="Twitter"/>
    <d v="2024-11-14T00:00:00"/>
    <s v="Story"/>
    <s v="Check out our latest story on twitter!"/>
    <n v="4000"/>
    <n v="689"/>
    <n v="488"/>
    <n v="40000"/>
    <n v="39569"/>
    <n v="44"/>
    <x v="0"/>
    <s v="CybertruckLaunch"/>
  </r>
  <r>
    <s v="P115"/>
    <s v="Twitter"/>
    <d v="2025-05-11T00:00:00"/>
    <s v="Image"/>
    <s v="Check out our latest image on twitter!"/>
    <n v="2493"/>
    <n v="97"/>
    <n v="44"/>
    <n v="42381"/>
    <n v="41991"/>
    <n v="242"/>
    <x v="2"/>
    <s v="SustainabilityDrive"/>
  </r>
  <r>
    <s v="P115"/>
    <s v="Twitter"/>
    <d v="2025-05-11T00:00:00"/>
    <s v="Image"/>
    <s v="Check out our latest image on twitter!"/>
    <n v="2493"/>
    <n v="97"/>
    <n v="44"/>
    <n v="42381"/>
    <n v="41991"/>
    <n v="242"/>
    <x v="1"/>
    <s v="SustainabilityDrive"/>
  </r>
  <r>
    <s v="P116"/>
    <s v="YouTube"/>
    <d v="2025-03-18T00:00:00"/>
    <s v="Reel"/>
    <s v="Check out our latest reel on youtube!"/>
    <n v="3704"/>
    <n v="186"/>
    <n v="458"/>
    <n v="25928"/>
    <n v="25081"/>
    <n v="131"/>
    <x v="2"/>
    <m/>
  </r>
  <r>
    <s v="P117"/>
    <s v="Twitter"/>
    <d v="2024-11-04T00:00:00"/>
    <s v="Image"/>
    <s v="Check out our latest image on twitter!"/>
    <n v="1606"/>
    <n v="451"/>
    <n v="405"/>
    <n v="20878"/>
    <n v="20190"/>
    <n v="219"/>
    <x v="4"/>
    <s v="SustainabilityDrive"/>
  </r>
  <r>
    <s v="P118"/>
    <s v="Facebook"/>
    <d v="2024-11-04T00:00:00"/>
    <s v="Image"/>
    <s v="Check out our latest image on facebook!"/>
    <n v="4551"/>
    <n v="714"/>
    <n v="207"/>
    <n v="68265"/>
    <n v="67754"/>
    <n v="57"/>
    <x v="0"/>
    <s v="FSDUpdate"/>
  </r>
  <r>
    <s v="P119"/>
    <s v="Instagram"/>
    <d v="2025-02-07T00:00:00"/>
    <s v="Reel"/>
    <s v="Check out our latest reel on instagram!"/>
    <n v="1970"/>
    <n v="675"/>
    <n v="478"/>
    <n v="9850"/>
    <n v="8924"/>
    <n v="117"/>
    <x v="0"/>
    <m/>
  </r>
  <r>
    <s v="P120"/>
    <s v="Facebook"/>
    <d v="2024-10-21T00:00:00"/>
    <s v="Story"/>
    <s v="Check out our latest story on facebook!"/>
    <n v="780"/>
    <n v="928"/>
    <n v="301"/>
    <n v="8580"/>
    <n v="8081"/>
    <n v="91"/>
    <x v="4"/>
    <s v="FSDUpdate"/>
  </r>
  <r>
    <s v="P121"/>
    <s v="Instagram"/>
    <d v="2024-07-29T00:00:00"/>
    <s v="Story"/>
    <s v="Check out our latest story on instagram!"/>
    <n v="498"/>
    <n v="701"/>
    <n v="412"/>
    <n v="4980"/>
    <n v="4185"/>
    <n v="185"/>
    <x v="0"/>
    <m/>
  </r>
  <r>
    <s v="P122"/>
    <s v="Instagram"/>
    <d v="2024-10-02T00:00:00"/>
    <s v="Text"/>
    <s v="Check out our latest text on instagram!"/>
    <n v="3432"/>
    <n v="869"/>
    <n v="123"/>
    <n v="54912"/>
    <n v="53916"/>
    <n v="264"/>
    <x v="4"/>
    <s v="ModelYCampaign"/>
  </r>
  <r>
    <s v="P123"/>
    <s v="Instagram"/>
    <d v="2024-06-14T00:00:00"/>
    <s v="Story"/>
    <s v="Check out our latest story on instagram!"/>
    <n v="4363"/>
    <n v="649"/>
    <n v="140"/>
    <n v="21815"/>
    <n v="21481"/>
    <n v="157"/>
    <x v="4"/>
    <s v="CybertruckLaunch"/>
  </r>
  <r>
    <s v="P124"/>
    <s v="YouTube"/>
    <d v="2025-04-06T00:00:00"/>
    <s v="Carousel"/>
    <s v="Check out our latest carousel on youtube!"/>
    <n v="736"/>
    <n v="771"/>
    <n v="225"/>
    <n v="5152"/>
    <n v="4706"/>
    <n v="19"/>
    <x v="4"/>
    <s v="CybertruckLaunch"/>
  </r>
  <r>
    <s v="P125"/>
    <s v="Twitter"/>
    <d v="2024-09-08T00:00:00"/>
    <s v="Carousel"/>
    <s v="Check out our latest carousel on twitter!"/>
    <n v="3811"/>
    <n v="866"/>
    <n v="216"/>
    <n v="34299"/>
    <n v="34088"/>
    <n v="233"/>
    <x v="2"/>
    <s v="SustainabilityDrive"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x v="0"/>
    <m/>
  </r>
  <r>
    <s v="P127"/>
    <s v="Facebook"/>
    <d v="2025-01-27T00:00:00"/>
    <s v="Reel"/>
    <s v="Check out our latest reel on facebook!"/>
    <n v="3452"/>
    <n v="652"/>
    <n v="442"/>
    <n v="65588"/>
    <n v="65049"/>
    <n v="158"/>
    <x v="0"/>
    <s v="FSDUpdate"/>
  </r>
  <r>
    <s v="P128"/>
    <s v="Twitter"/>
    <d v="2025-01-10T00:00:00"/>
    <s v="Image"/>
    <s v="Check out our latest image on twitter!"/>
    <n v="3092"/>
    <n v="106"/>
    <n v="291"/>
    <n v="27828"/>
    <n v="27217"/>
    <n v="102"/>
    <x v="0"/>
    <m/>
  </r>
  <r>
    <s v="P129"/>
    <s v="Twitter"/>
    <d v="2024-07-21T00:00:00"/>
    <s v="Text"/>
    <s v="Check out our latest text on twitter!"/>
    <n v="2147"/>
    <n v="430"/>
    <n v="393"/>
    <n v="17176"/>
    <n v="16483"/>
    <n v="170"/>
    <x v="2"/>
    <m/>
  </r>
  <r>
    <s v="P130"/>
    <s v="YouTube"/>
    <d v="2024-09-29T00:00:00"/>
    <s v="Reel"/>
    <s v="Check out our latest reel on youtube!"/>
    <n v="2936"/>
    <n v="439"/>
    <n v="44"/>
    <n v="38168"/>
    <n v="37571"/>
    <n v="22"/>
    <x v="4"/>
    <s v="SustainabilityDrive"/>
  </r>
  <r>
    <s v="P131"/>
    <s v="Instagram"/>
    <d v="2024-10-21T00:00:00"/>
    <s v="Reel"/>
    <s v="Check out our latest reel on instagram!"/>
    <n v="4840"/>
    <n v="658"/>
    <n v="211"/>
    <n v="43560"/>
    <n v="43225"/>
    <n v="57"/>
    <x v="0"/>
    <s v="FSDUpdate"/>
  </r>
  <r>
    <s v="P132"/>
    <s v="Instagram"/>
    <d v="2025-03-04T00:00:00"/>
    <s v="Story"/>
    <s v="Check out our latest story on instagram!"/>
    <n v="1947"/>
    <n v="842"/>
    <n v="101"/>
    <n v="21417"/>
    <n v="20967"/>
    <n v="186"/>
    <x v="0"/>
    <s v="ModelYCampaign"/>
  </r>
  <r>
    <s v="P133"/>
    <s v="Facebook"/>
    <d v="2025-02-06T00:00:00"/>
    <s v="Image"/>
    <s v="Check out our latest image on facebook!"/>
    <n v="2072"/>
    <n v="532"/>
    <n v="71"/>
    <n v="37296"/>
    <n v="36467"/>
    <n v="25"/>
    <x v="2"/>
    <s v="SustainabilityDrive"/>
  </r>
  <r>
    <s v="P134"/>
    <s v="Twitter"/>
    <d v="2025-04-24T00:00:00"/>
    <s v="Reel"/>
    <s v="Check out our latest reel on twitter!"/>
    <n v="3731"/>
    <n v="115"/>
    <n v="135"/>
    <n v="55965"/>
    <n v="55436"/>
    <n v="103"/>
    <x v="2"/>
    <s v="CybertruckLaunch"/>
  </r>
  <r>
    <s v="P135"/>
    <s v="Facebook"/>
    <d v="2024-11-28T00:00:00"/>
    <s v="Text"/>
    <s v="Check out our latest text on facebook!"/>
    <n v="4213"/>
    <n v="253"/>
    <n v="434"/>
    <n v="75834"/>
    <n v="75437"/>
    <n v="272"/>
    <x v="0"/>
    <s v="SustainabilityDrive"/>
  </r>
  <r>
    <s v="P136"/>
    <s v="Instagram"/>
    <d v="2024-07-11T00:00:00"/>
    <s v="Text"/>
    <s v="Check out our latest text on instagram!"/>
    <n v="3134"/>
    <n v="888"/>
    <n v="444"/>
    <n v="21938"/>
    <n v="21337"/>
    <n v="130"/>
    <x v="4"/>
    <s v="SustainabilityDrive"/>
  </r>
  <r>
    <s v="P137"/>
    <s v="Facebook"/>
    <d v="2024-07-31T00:00:00"/>
    <s v="Video"/>
    <s v="Check out our latest video on facebook!"/>
    <n v="3008"/>
    <n v="94"/>
    <n v="37"/>
    <n v="15040"/>
    <n v="14639"/>
    <n v="277"/>
    <x v="0"/>
    <m/>
  </r>
  <r>
    <s v="P138"/>
    <s v="Twitter"/>
    <d v="2025-03-29T00:00:00"/>
    <s v="Image"/>
    <s v="Check out our latest image on twitter!"/>
    <n v="305"/>
    <n v="187"/>
    <n v="243"/>
    <n v="4575"/>
    <n v="3704"/>
    <n v="234"/>
    <x v="0"/>
    <s v="FSDUpdate"/>
  </r>
  <r>
    <s v="P139"/>
    <s v="YouTube"/>
    <d v="2024-10-29T00:00:00"/>
    <s v="Text"/>
    <s v="Check out our latest text on youtube!"/>
    <n v="2746"/>
    <n v="156"/>
    <n v="203"/>
    <n v="32952"/>
    <n v="32147"/>
    <n v="147"/>
    <x v="4"/>
    <s v="CybertruckLaunch"/>
  </r>
  <r>
    <s v="P140"/>
    <s v="Facebook"/>
    <d v="2024-07-15T00:00:00"/>
    <s v="Image"/>
    <s v="Check out our latest image on facebook!"/>
    <n v="2291"/>
    <n v="78"/>
    <n v="485"/>
    <n v="18328"/>
    <n v="18101"/>
    <n v="10"/>
    <x v="4"/>
    <s v="ModelYCampaign"/>
  </r>
  <r>
    <s v="P140"/>
    <s v="Facebook"/>
    <d v="2024-07-15T00:00:00"/>
    <s v="Image"/>
    <s v="Check out our latest image on facebook!"/>
    <n v="2291"/>
    <n v="78"/>
    <n v="485"/>
    <n v="18328"/>
    <n v="18101"/>
    <n v="10"/>
    <x v="5"/>
    <s v="ModelYCampaign"/>
  </r>
  <r>
    <s v="P141"/>
    <s v="Twitter"/>
    <d v="2024-08-31T00:00:00"/>
    <s v="Image"/>
    <s v="Check out our latest image on twitter!"/>
    <n v="3170"/>
    <n v="857"/>
    <n v="379"/>
    <n v="19020"/>
    <n v="18559"/>
    <n v="240"/>
    <x v="0"/>
    <m/>
  </r>
  <r>
    <s v="P142"/>
    <s v="YouTube"/>
    <d v="2025-03-25T00:00:00"/>
    <s v="Story"/>
    <s v="Check out our latest story on youtube!"/>
    <n v="2070"/>
    <n v="275"/>
    <n v="386"/>
    <n v="39330"/>
    <n v="38627"/>
    <n v="114"/>
    <x v="0"/>
    <s v="SustainabilityDrive"/>
  </r>
  <r>
    <s v="P143"/>
    <s v="YouTube"/>
    <d v="2024-10-02T00:00:00"/>
    <s v="Carousel"/>
    <s v="Check out our latest carousel on youtube!"/>
    <n v="80"/>
    <n v="362"/>
    <n v="80"/>
    <n v="1040"/>
    <n v="349"/>
    <n v="117"/>
    <x v="2"/>
    <s v="FSDUpdate"/>
  </r>
  <r>
    <s v="P144"/>
    <s v="YouTube"/>
    <d v="2024-10-28T00:00:00"/>
    <s v="Story"/>
    <s v="Check out our latest story on youtube!"/>
    <n v="4929"/>
    <n v="749"/>
    <n v="452"/>
    <n v="93651"/>
    <n v="92810"/>
    <n v="66"/>
    <x v="4"/>
    <s v="SustainabilityDrive"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x v="2"/>
    <s v="SustainabilityDrive"/>
  </r>
  <r>
    <s v="P146"/>
    <s v="YouTube"/>
    <d v="2024-06-05T00:00:00"/>
    <s v="Reel"/>
    <s v="Check out our latest reel on youtube!"/>
    <n v="3065"/>
    <n v="772"/>
    <n v="142"/>
    <n v="18390"/>
    <n v="17875"/>
    <n v="200"/>
    <x v="4"/>
    <m/>
  </r>
  <r>
    <s v="P146"/>
    <s v="YouTube"/>
    <d v="2024-06-05T00:00:00"/>
    <s v="Reel"/>
    <s v="Check out our latest reel on youtube!"/>
    <n v="3065"/>
    <n v="772"/>
    <n v="142"/>
    <n v="18390"/>
    <n v="17875"/>
    <n v="200"/>
    <x v="1"/>
    <m/>
  </r>
  <r>
    <s v="P147"/>
    <s v="Instagram"/>
    <d v="2024-10-21T00:00:00"/>
    <s v="Reel"/>
    <s v="Check out our latest reel on instagram!"/>
    <n v="3256"/>
    <n v="459"/>
    <n v="266"/>
    <n v="26048"/>
    <n v="25529"/>
    <n v="143"/>
    <x v="2"/>
    <s v="ModelYCampaign"/>
  </r>
  <r>
    <s v="P148"/>
    <s v="Instagram"/>
    <d v="2025-04-15T00:00:00"/>
    <s v="Video"/>
    <s v="Check out our latest video on instagram!"/>
    <n v="4133"/>
    <n v="466"/>
    <n v="327"/>
    <n v="24798"/>
    <n v="24620"/>
    <n v="176"/>
    <x v="4"/>
    <s v="SustainabilityDrive"/>
  </r>
  <r>
    <s v="P149"/>
    <s v="Twitter"/>
    <d v="2024-06-16T00:00:00"/>
    <s v="Video"/>
    <s v="Check out our latest video on twitter!"/>
    <n v="1702"/>
    <n v="750"/>
    <n v="179"/>
    <n v="34040"/>
    <n v="33174"/>
    <n v="76"/>
    <x v="4"/>
    <s v="CybertruckLaunch"/>
  </r>
  <r>
    <s v="P150"/>
    <s v="YouTube"/>
    <d v="2024-08-22T00:00:00"/>
    <s v="Carousel"/>
    <s v="Check out our latest carousel on youtube!"/>
    <n v="4295"/>
    <n v="853"/>
    <n v="325"/>
    <n v="85900"/>
    <n v="85788"/>
    <n v="290"/>
    <x v="2"/>
    <s v="SustainabilityDrive"/>
  </r>
  <r>
    <s v="P151"/>
    <s v="Instagram"/>
    <d v="2024-07-26T00:00:00"/>
    <s v="Image"/>
    <s v="Check out our latest image on instagram!"/>
    <n v="3559"/>
    <n v="59"/>
    <n v="289"/>
    <n v="35590"/>
    <n v="35105"/>
    <n v="122"/>
    <x v="4"/>
    <s v="CybertruckLaunch"/>
  </r>
  <r>
    <s v="P152"/>
    <s v="Facebook"/>
    <d v="2025-04-22T00:00:00"/>
    <s v="Image"/>
    <s v="Check out our latest image on facebook!"/>
    <n v="4804"/>
    <n v="550"/>
    <n v="270"/>
    <n v="28824"/>
    <n v="28370"/>
    <n v="47"/>
    <x v="4"/>
    <s v="SustainabilityDrive"/>
  </r>
  <r>
    <s v="P153"/>
    <s v="Twitter"/>
    <d v="2025-01-01T00:00:00"/>
    <s v="Video"/>
    <s v="Check out our latest video on twitter!"/>
    <n v="754"/>
    <n v="197"/>
    <n v="257"/>
    <n v="6786"/>
    <n v="6221"/>
    <n v="212"/>
    <x v="2"/>
    <s v="FSDUpdate"/>
  </r>
  <r>
    <s v="P154"/>
    <s v="Instagram"/>
    <d v="2024-10-09T00:00:00"/>
    <s v="Carousel"/>
    <s v="Check out our latest carousel on instagram!"/>
    <n v="985"/>
    <n v="932"/>
    <n v="287"/>
    <n v="6895"/>
    <n v="6757"/>
    <n v="64"/>
    <x v="0"/>
    <s v="SustainabilityDrive"/>
  </r>
  <r>
    <s v="P155"/>
    <s v="YouTube"/>
    <d v="2024-12-21T00:00:00"/>
    <s v="Image"/>
    <s v="Check out our latest image on youtube!"/>
    <n v="2283"/>
    <n v="210"/>
    <n v="130"/>
    <n v="22830"/>
    <n v="22617"/>
    <n v="143"/>
    <x v="0"/>
    <s v="ModelYCampaign"/>
  </r>
  <r>
    <s v="P156"/>
    <s v="Facebook"/>
    <d v="2024-10-22T00:00:00"/>
    <s v="Carousel"/>
    <s v="Check out our latest carousel on facebook!"/>
    <n v="3352"/>
    <n v="941"/>
    <n v="482"/>
    <n v="43576"/>
    <n v="43338"/>
    <n v="240"/>
    <x v="0"/>
    <s v="ModelYCampaign"/>
  </r>
  <r>
    <s v="P157"/>
    <s v="YouTube"/>
    <d v="2024-07-23T00:00:00"/>
    <s v="Story"/>
    <s v="Check out our latest story on youtube!"/>
    <n v="4775"/>
    <n v="173"/>
    <n v="206"/>
    <n v="47750"/>
    <n v="47544"/>
    <n v="187"/>
    <x v="0"/>
    <s v="ModelYCampaign"/>
  </r>
  <r>
    <s v="P158"/>
    <s v="Instagram"/>
    <d v="2024-08-11T00:00:00"/>
    <s v="Story"/>
    <s v="Check out our latest story on instagram!"/>
    <n v="1762"/>
    <n v="405"/>
    <n v="423"/>
    <n v="22906"/>
    <n v="21925"/>
    <n v="25"/>
    <x v="2"/>
    <s v="CybertruckLaunch"/>
  </r>
  <r>
    <s v="P159"/>
    <s v="Facebook"/>
    <d v="2024-11-25T00:00:00"/>
    <s v="Story"/>
    <s v="Check out our latest story on facebook!"/>
    <n v="2120"/>
    <n v="158"/>
    <n v="488"/>
    <n v="12720"/>
    <n v="12085"/>
    <n v="17"/>
    <x v="0"/>
    <s v="ModelYCampaign"/>
  </r>
  <r>
    <s v="P160"/>
    <s v="Twitter"/>
    <d v="2024-08-24T00:00:00"/>
    <s v="Video"/>
    <s v="Check out our latest video on twitter!"/>
    <n v="1082"/>
    <n v="209"/>
    <n v="484"/>
    <n v="19476"/>
    <n v="18654"/>
    <n v="20"/>
    <x v="2"/>
    <m/>
  </r>
  <r>
    <s v="P161"/>
    <s v="Twitter"/>
    <d v="2025-02-19T00:00:00"/>
    <s v="Text"/>
    <s v="Check out our latest text on twitter!"/>
    <n v="4671"/>
    <n v="876"/>
    <n v="366"/>
    <n v="51381"/>
    <n v="50565"/>
    <n v="245"/>
    <x v="2"/>
    <s v="SustainabilityDrive"/>
  </r>
  <r>
    <s v="P162"/>
    <s v="Facebook"/>
    <d v="2025-04-01T00:00:00"/>
    <s v="Story"/>
    <s v="Check out our latest story on facebook!"/>
    <n v="3430"/>
    <n v="566"/>
    <n v="164"/>
    <n v="48020"/>
    <n v="47305"/>
    <n v="120"/>
    <x v="0"/>
    <m/>
  </r>
  <r>
    <s v="P163"/>
    <s v="Instagram"/>
    <d v="2025-04-08T00:00:00"/>
    <s v="Image"/>
    <s v="Check out our latest image on instagram!"/>
    <n v="4501"/>
    <n v="375"/>
    <n v="323"/>
    <n v="22505"/>
    <n v="21836"/>
    <n v="132"/>
    <x v="2"/>
    <s v="ModelYCampaign"/>
  </r>
  <r>
    <s v="P164"/>
    <s v="YouTube"/>
    <d v="2025-02-27T00:00:00"/>
    <s v="Text"/>
    <s v="Check out our latest text on youtube!"/>
    <n v="4934"/>
    <n v="971"/>
    <n v="156"/>
    <n v="39472"/>
    <n v="39025"/>
    <n v="169"/>
    <x v="2"/>
    <s v="SustainabilityDrive"/>
  </r>
  <r>
    <s v="P164"/>
    <s v="YouTube"/>
    <d v="2025-02-27T00:00:00"/>
    <s v="Text"/>
    <s v="Check out our latest text on youtube!"/>
    <n v="4934"/>
    <n v="971"/>
    <n v="156"/>
    <n v="39472"/>
    <n v="39025"/>
    <n v="169"/>
    <x v="1"/>
    <s v="SustainabilityDrive"/>
  </r>
  <r>
    <s v="P165"/>
    <s v="Twitter"/>
    <d v="2024-12-11T00:00:00"/>
    <s v="Text"/>
    <s v="Check out our latest text on twitter!"/>
    <n v="3239"/>
    <n v="43"/>
    <n v="211"/>
    <n v="22673"/>
    <n v="22171"/>
    <n v="230"/>
    <x v="2"/>
    <s v="ModelYCampaign"/>
  </r>
  <r>
    <s v="P166"/>
    <s v="Twitter"/>
    <d v="2025-02-16T00:00:00"/>
    <s v="Reel"/>
    <s v="Check out our latest reel on twitter!"/>
    <n v="1076"/>
    <n v="313"/>
    <n v="306"/>
    <n v="11836"/>
    <n v="11596"/>
    <n v="104"/>
    <x v="0"/>
    <s v="CybertruckLaunch"/>
  </r>
  <r>
    <s v="P167"/>
    <s v="Instagram"/>
    <d v="2024-11-28T00:00:00"/>
    <s v="Text"/>
    <s v="Check out our latest text on instagram!"/>
    <n v="4771"/>
    <n v="818"/>
    <n v="56"/>
    <n v="57252"/>
    <n v="56378"/>
    <n v="150"/>
    <x v="0"/>
    <m/>
  </r>
  <r>
    <s v="P168"/>
    <s v="Facebook"/>
    <d v="2024-11-12T00:00:00"/>
    <s v="Text"/>
    <s v="Check out our latest text on facebook!"/>
    <n v="2418"/>
    <n v="754"/>
    <n v="54"/>
    <n v="43524"/>
    <n v="42743"/>
    <n v="182"/>
    <x v="4"/>
    <s v="CybertruckLaunch"/>
  </r>
  <r>
    <s v="P169"/>
    <s v="YouTube"/>
    <d v="2024-12-03T00:00:00"/>
    <s v="Video"/>
    <s v="Check out our latest video on youtube!"/>
    <n v="3809"/>
    <n v="273"/>
    <n v="200"/>
    <n v="34281"/>
    <n v="33534"/>
    <n v="83"/>
    <x v="4"/>
    <s v="CybertruckLaunch"/>
  </r>
  <r>
    <s v="P170"/>
    <s v="Twitter"/>
    <d v="2025-04-28T00:00:00"/>
    <s v="Text"/>
    <s v="Check out our latest text on twitter!"/>
    <n v="3577"/>
    <n v="596"/>
    <n v="493"/>
    <n v="67963"/>
    <n v="67839"/>
    <n v="53"/>
    <x v="2"/>
    <s v="FSDUpdate"/>
  </r>
  <r>
    <s v="P171"/>
    <s v="YouTube"/>
    <d v="2024-12-31T00:00:00"/>
    <s v="Video"/>
    <s v="Check out our latest video on youtube!"/>
    <n v="1018"/>
    <n v="447"/>
    <n v="332"/>
    <n v="18324"/>
    <n v="18164"/>
    <n v="38"/>
    <x v="0"/>
    <s v="ModelYCampaign"/>
  </r>
  <r>
    <s v="P172"/>
    <s v="Facebook"/>
    <d v="2024-08-14T00:00:00"/>
    <s v="Carousel"/>
    <s v="Check out our latest carousel on facebook!"/>
    <n v="3073"/>
    <n v="553"/>
    <n v="174"/>
    <n v="52241"/>
    <n v="51605"/>
    <n v="246"/>
    <x v="4"/>
    <s v="FSDUpdate"/>
  </r>
  <r>
    <s v="P173"/>
    <s v="Twitter"/>
    <d v="2024-12-05T00:00:00"/>
    <s v="Video"/>
    <s v="Check out our latest video on twitter!"/>
    <n v="1330"/>
    <n v="925"/>
    <n v="35"/>
    <n v="15960"/>
    <n v="15379"/>
    <n v="229"/>
    <x v="0"/>
    <s v="FSDUpdate"/>
  </r>
  <r>
    <s v="P174"/>
    <s v="Facebook"/>
    <d v="2024-06-22T00:00:00"/>
    <s v="Text"/>
    <s v="Check out our latest text on facebook!"/>
    <n v="3828"/>
    <n v="148"/>
    <n v="253"/>
    <n v="30624"/>
    <n v="30229"/>
    <n v="235"/>
    <x v="4"/>
    <m/>
  </r>
  <r>
    <s v="P175"/>
    <s v="Instagram"/>
    <d v="2025-01-17T00:00:00"/>
    <s v="Reel"/>
    <s v="Check out our latest reel on instagram!"/>
    <n v="142"/>
    <n v="784"/>
    <n v="183"/>
    <n v="1704"/>
    <n v="995"/>
    <n v="154"/>
    <x v="0"/>
    <s v="SustainabilityDrive"/>
  </r>
  <r>
    <s v="P176"/>
    <s v="Facebook"/>
    <d v="2024-06-20T00:00:00"/>
    <s v="Video"/>
    <s v="Check out our latest video on facebook!"/>
    <n v="3798"/>
    <n v="31"/>
    <n v="279"/>
    <n v="75960"/>
    <n v="75813"/>
    <n v="266"/>
    <x v="2"/>
    <s v="CybertruckLaunch"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x v="2"/>
    <s v="FSDUpdate"/>
  </r>
  <r>
    <s v="P178"/>
    <s v="Instagram"/>
    <d v="2024-11-07T00:00:00"/>
    <s v="Video"/>
    <s v="Check out our latest video on instagram!"/>
    <n v="129"/>
    <n v="643"/>
    <n v="136"/>
    <n v="1290"/>
    <n v="839"/>
    <n v="238"/>
    <x v="2"/>
    <s v="SustainabilityDrive"/>
  </r>
  <r>
    <s v="P179"/>
    <s v="Facebook"/>
    <d v="2024-07-15T00:00:00"/>
    <s v="Carousel"/>
    <s v="Check out our latest carousel on facebook!"/>
    <n v="3796"/>
    <n v="667"/>
    <n v="395"/>
    <n v="64532"/>
    <n v="63550"/>
    <n v="292"/>
    <x v="2"/>
    <m/>
  </r>
  <r>
    <s v="P180"/>
    <s v="YouTube"/>
    <d v="2024-12-03T00:00:00"/>
    <s v="Text"/>
    <s v="Check out our latest text on youtube!"/>
    <n v="3711"/>
    <n v="352"/>
    <n v="290"/>
    <n v="48243"/>
    <n v="47579"/>
    <n v="11"/>
    <x v="2"/>
    <s v="CybertruckLaunch"/>
  </r>
  <r>
    <s v="P181"/>
    <s v="YouTube"/>
    <d v="2025-03-21T00:00:00"/>
    <s v="Image"/>
    <s v="Check out our latest image on youtube!"/>
    <n v="606"/>
    <n v="789"/>
    <n v="470"/>
    <n v="7878"/>
    <n v="7389"/>
    <n v="239"/>
    <x v="4"/>
    <s v="FSDUpdate"/>
  </r>
  <r>
    <s v="P182"/>
    <s v="Facebook"/>
    <d v="2024-07-31T00:00:00"/>
    <s v="Image"/>
    <s v="Check out our latest image on facebook!"/>
    <n v="4689"/>
    <n v="134"/>
    <n v="403"/>
    <n v="51579"/>
    <n v="50924"/>
    <n v="173"/>
    <x v="2"/>
    <s v="SustainabilityDrive"/>
  </r>
  <r>
    <s v="P183"/>
    <s v="Instagram"/>
    <d v="2024-12-17T00:00:00"/>
    <s v="Story"/>
    <s v="Check out our latest story on instagram!"/>
    <n v="360"/>
    <n v="590"/>
    <n v="393"/>
    <n v="4680"/>
    <n v="4322"/>
    <n v="208"/>
    <x v="0"/>
    <s v="ModelYCampaign"/>
  </r>
  <r>
    <s v="P184"/>
    <s v="Twitter"/>
    <d v="2024-07-28T00:00:00"/>
    <s v="Image"/>
    <s v="Check out our latest image on twitter!"/>
    <n v="3215"/>
    <n v="960"/>
    <n v="202"/>
    <n v="32150"/>
    <n v="31404"/>
    <n v="251"/>
    <x v="4"/>
    <s v="CybertruckLaunch"/>
  </r>
  <r>
    <s v="P185"/>
    <s v="Instagram"/>
    <d v="2025-01-11T00:00:00"/>
    <s v="Carousel"/>
    <s v="Check out our latest carousel on instagram!"/>
    <n v="4523"/>
    <n v="61"/>
    <n v="157"/>
    <n v="49753"/>
    <n v="49329"/>
    <n v="71"/>
    <x v="4"/>
    <m/>
  </r>
  <r>
    <s v="P186"/>
    <s v="Facebook"/>
    <d v="2024-08-24T00:00:00"/>
    <s v="Carousel"/>
    <s v="Check out our latest carousel on facebook!"/>
    <n v="4292"/>
    <n v="51"/>
    <n v="392"/>
    <n v="55796"/>
    <n v="54826"/>
    <n v="264"/>
    <x v="4"/>
    <s v="FSDUpdate"/>
  </r>
  <r>
    <s v="P187"/>
    <s v="Twitter"/>
    <d v="2024-12-22T00:00:00"/>
    <s v="Reel"/>
    <s v="Check out our latest reel on twitter!"/>
    <n v="1644"/>
    <n v="546"/>
    <n v="150"/>
    <n v="27948"/>
    <n v="27184"/>
    <n v="300"/>
    <x v="4"/>
    <s v="FSDUpdate"/>
  </r>
  <r>
    <s v="P188"/>
    <s v="YouTube"/>
    <d v="2024-06-06T00:00:00"/>
    <s v="Reel"/>
    <s v="Check out our latest reel on youtube!"/>
    <n v="2728"/>
    <n v="533"/>
    <n v="215"/>
    <n v="40920"/>
    <n v="40816"/>
    <n v="137"/>
    <x v="0"/>
    <s v="ModelYCampaign"/>
  </r>
  <r>
    <s v="P189"/>
    <s v="Facebook"/>
    <d v="2025-03-24T00:00:00"/>
    <s v="Reel"/>
    <s v="Check out our latest reel on facebook!"/>
    <n v="3360"/>
    <n v="525"/>
    <n v="500"/>
    <n v="60480"/>
    <n v="59610"/>
    <n v="192"/>
    <x v="2"/>
    <s v="CybertruckLaunch"/>
  </r>
  <r>
    <s v="P190"/>
    <s v="YouTube"/>
    <d v="2024-10-04T00:00:00"/>
    <s v="Text"/>
    <s v="Check out our latest text on youtube!"/>
    <n v="1963"/>
    <n v="213"/>
    <n v="19"/>
    <n v="39260"/>
    <n v="38771"/>
    <n v="145"/>
    <x v="0"/>
    <m/>
  </r>
  <r>
    <s v="P191"/>
    <s v="YouTube"/>
    <d v="2024-12-03T00:00:00"/>
    <s v="Story"/>
    <s v="Check out our latest story on youtube!"/>
    <n v="4285"/>
    <n v="886"/>
    <n v="376"/>
    <n v="55705"/>
    <n v="55556"/>
    <n v="51"/>
    <x v="0"/>
    <s v="FSDUpdate"/>
  </r>
  <r>
    <s v="P192"/>
    <s v="Instagram"/>
    <d v="2024-11-29T00:00:00"/>
    <s v="Video"/>
    <s v="Check out our latest video on instagram!"/>
    <n v="1176"/>
    <n v="464"/>
    <n v="394"/>
    <n v="14112"/>
    <n v="13588"/>
    <n v="272"/>
    <x v="4"/>
    <m/>
  </r>
  <r>
    <s v="P193"/>
    <s v="Twitter"/>
    <d v="2024-09-11T00:00:00"/>
    <s v="Image"/>
    <s v="Check out our latest image on twitter!"/>
    <n v="4858"/>
    <n v="317"/>
    <n v="129"/>
    <n v="53438"/>
    <n v="52687"/>
    <n v="223"/>
    <x v="4"/>
    <s v="FSDUpdate"/>
  </r>
  <r>
    <s v="P194"/>
    <s v="YouTube"/>
    <d v="2024-10-02T00:00:00"/>
    <s v="Story"/>
    <s v="Check out our latest story on youtube!"/>
    <n v="4350"/>
    <n v="771"/>
    <n v="7"/>
    <n v="60900"/>
    <n v="60592"/>
    <n v="195"/>
    <x v="4"/>
    <s v="CybertruckLaunch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x v="0"/>
    <s v="SustainabilityDrive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x v="2"/>
    <s v="SustainabilityDrive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x v="1"/>
    <s v="SustainabilityDrive"/>
  </r>
  <r>
    <s v="P196"/>
    <s v="Instagram"/>
    <d v="2024-12-19T00:00:00"/>
    <s v="Text"/>
    <s v="Check out our latest text on instagram!"/>
    <n v="1813"/>
    <n v="623"/>
    <n v="72"/>
    <n v="19943"/>
    <n v="18959"/>
    <n v="85"/>
    <x v="4"/>
    <s v="FSDUpdate"/>
  </r>
  <r>
    <s v="P197"/>
    <s v="Twitter"/>
    <d v="2024-10-22T00:00:00"/>
    <s v="Reel"/>
    <s v="Check out our latest reel on twitter!"/>
    <n v="4782"/>
    <n v="721"/>
    <n v="82"/>
    <n v="86076"/>
    <n v="85339"/>
    <n v="19"/>
    <x v="4"/>
    <s v="CybertruckLaunch"/>
  </r>
  <r>
    <s v="P198"/>
    <s v="Twitter"/>
    <d v="2024-09-14T00:00:00"/>
    <s v="Image"/>
    <s v="Check out our latest image on twitter!"/>
    <n v="1048"/>
    <n v="374"/>
    <n v="450"/>
    <n v="9432"/>
    <n v="8882"/>
    <n v="158"/>
    <x v="2"/>
    <s v="FSDUpdate"/>
  </r>
  <r>
    <s v="P199"/>
    <s v="YouTube"/>
    <d v="2024-11-30T00:00:00"/>
    <s v="Carousel"/>
    <s v="Check out our latest carousel on youtube!"/>
    <n v="2509"/>
    <n v="324"/>
    <n v="171"/>
    <n v="35126"/>
    <n v="34685"/>
    <n v="277"/>
    <x v="2"/>
    <s v="ModelYCampaign"/>
  </r>
  <r>
    <s v="P200"/>
    <s v="Facebook"/>
    <d v="2025-04-07T00:00:00"/>
    <s v="Reel"/>
    <s v="Check out our latest reel on facebook!"/>
    <n v="3718"/>
    <n v="385"/>
    <n v="310"/>
    <n v="70642"/>
    <n v="69749"/>
    <n v="233"/>
    <x v="2"/>
    <s v="ModelYCampaign"/>
  </r>
  <r>
    <s v="P201"/>
    <s v="Twitter"/>
    <d v="2025-01-15T00:00:00"/>
    <s v="Reel"/>
    <s v="Check out our latest reel on twitter!"/>
    <n v="802"/>
    <n v="262"/>
    <n v="244"/>
    <n v="14436"/>
    <n v="14280"/>
    <n v="49"/>
    <x v="4"/>
    <s v="CybertruckLaunch"/>
  </r>
  <r>
    <s v="P202"/>
    <s v="Facebook"/>
    <d v="2024-06-02T00:00:00"/>
    <s v="Image"/>
    <s v="Check out our latest image on facebook!"/>
    <n v="1871"/>
    <n v="252"/>
    <n v="335"/>
    <n v="29936"/>
    <n v="29576"/>
    <n v="288"/>
    <x v="4"/>
    <s v="FSDUpdate"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x v="0"/>
    <s v="CybertruckLaunch"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x v="0"/>
    <s v="FSDUpdate"/>
  </r>
  <r>
    <s v="P205"/>
    <s v="Twitter"/>
    <d v="2025-04-24T00:00:00"/>
    <s v="Video"/>
    <s v="Check out our latest video on twitter!"/>
    <n v="3820"/>
    <n v="697"/>
    <n v="268"/>
    <n v="45840"/>
    <n v="45631"/>
    <n v="171"/>
    <x v="2"/>
    <s v="SustainabilityDrive"/>
  </r>
  <r>
    <s v="P205"/>
    <s v="Twitter"/>
    <d v="2025-04-24T00:00:00"/>
    <s v="Video"/>
    <s v="Check out our latest video on twitter!"/>
    <n v="3820"/>
    <n v="697"/>
    <n v="268"/>
    <n v="45840"/>
    <n v="45631"/>
    <n v="171"/>
    <x v="5"/>
    <s v="SustainabilityDrive"/>
  </r>
  <r>
    <s v="P206"/>
    <s v="Twitter"/>
    <d v="2024-06-24T00:00:00"/>
    <s v="Text"/>
    <s v="Check out our latest text on twitter!"/>
    <n v="941"/>
    <n v="121"/>
    <n v="458"/>
    <n v="14115"/>
    <n v="13838"/>
    <n v="87"/>
    <x v="4"/>
    <s v="CybertruckLaunch"/>
  </r>
  <r>
    <s v="P207"/>
    <s v="Twitter"/>
    <d v="2024-12-29T00:00:00"/>
    <s v="Carousel"/>
    <s v="Check out our latest carousel on twitter!"/>
    <n v="4274"/>
    <n v="340"/>
    <n v="281"/>
    <n v="34192"/>
    <n v="33446"/>
    <n v="129"/>
    <x v="2"/>
    <s v="FSDUpdate"/>
  </r>
  <r>
    <s v="P207"/>
    <s v="Twitter"/>
    <d v="2024-12-29T00:00:00"/>
    <s v="Carousel"/>
    <s v="Check out our latest carousel on twitter!"/>
    <n v="4274"/>
    <n v="340"/>
    <n v="281"/>
    <n v="34192"/>
    <n v="33446"/>
    <n v="129"/>
    <x v="5"/>
    <s v="FSDUpdate"/>
  </r>
  <r>
    <s v="P208"/>
    <s v="YouTube"/>
    <d v="2024-06-24T00:00:00"/>
    <s v="Video"/>
    <s v="Check out our latest video on youtube!"/>
    <n v="2949"/>
    <n v="476"/>
    <n v="403"/>
    <n v="44235"/>
    <n v="43705"/>
    <n v="135"/>
    <x v="2"/>
    <s v="ModelYCampaign"/>
  </r>
  <r>
    <s v="P209"/>
    <s v="Twitter"/>
    <d v="2025-03-19T00:00:00"/>
    <s v="Video"/>
    <s v="Check out our latest video on twitter!"/>
    <n v="3160"/>
    <n v="204"/>
    <n v="297"/>
    <n v="44240"/>
    <n v="43666"/>
    <n v="49"/>
    <x v="0"/>
    <s v="SustainabilityDrive"/>
  </r>
  <r>
    <s v="P209"/>
    <s v="Twitter"/>
    <d v="2025-03-19T00:00:00"/>
    <s v="Video"/>
    <s v="Check out our latest video on twitter!"/>
    <n v="3160"/>
    <n v="204"/>
    <n v="297"/>
    <n v="44240"/>
    <n v="43666"/>
    <n v="49"/>
    <x v="1"/>
    <s v="SustainabilityDrive"/>
  </r>
  <r>
    <s v="P210"/>
    <s v="YouTube"/>
    <d v="2025-02-19T00:00:00"/>
    <s v="Image"/>
    <s v="Check out our latest image on youtube!"/>
    <n v="257"/>
    <n v="966"/>
    <n v="398"/>
    <n v="3341"/>
    <n v="2753"/>
    <n v="287"/>
    <x v="0"/>
    <s v="CybertruckLaunch"/>
  </r>
  <r>
    <s v="P211"/>
    <s v="Twitter"/>
    <d v="2024-07-18T00:00:00"/>
    <s v="Carousel"/>
    <s v="Check out our latest carousel on twitter!"/>
    <n v="2120"/>
    <n v="38"/>
    <n v="212"/>
    <n v="12720"/>
    <n v="12564"/>
    <n v="21"/>
    <x v="0"/>
    <s v="SustainabilityDrive"/>
  </r>
  <r>
    <s v="P212"/>
    <s v="YouTube"/>
    <d v="2025-03-03T00:00:00"/>
    <s v="Video"/>
    <s v="Check out our latest video on youtube!"/>
    <n v="3874"/>
    <n v="884"/>
    <n v="19"/>
    <n v="38740"/>
    <n v="38552"/>
    <n v="219"/>
    <x v="2"/>
    <s v="ModelYCampaign"/>
  </r>
  <r>
    <s v="P213"/>
    <s v="Facebook"/>
    <d v="2025-05-01T00:00:00"/>
    <s v="Carousel"/>
    <s v="Check out our latest carousel on facebook!"/>
    <n v="2696"/>
    <n v="628"/>
    <n v="443"/>
    <n v="45832"/>
    <n v="45632"/>
    <n v="248"/>
    <x v="4"/>
    <s v="SustainabilityDrive"/>
  </r>
  <r>
    <s v="P214"/>
    <s v="Instagram"/>
    <d v="2024-12-23T00:00:00"/>
    <s v="Image"/>
    <s v="Check out our latest image on instagram!"/>
    <n v="521"/>
    <n v="746"/>
    <n v="315"/>
    <n v="4168"/>
    <n v="3399"/>
    <n v="282"/>
    <x v="0"/>
    <s v="ModelYCampaign"/>
  </r>
  <r>
    <s v="P215"/>
    <s v="Facebook"/>
    <d v="2025-05-06T00:00:00"/>
    <s v="Image"/>
    <s v="Check out our latest image on facebook!"/>
    <n v="4872"/>
    <n v="925"/>
    <n v="176"/>
    <n v="82824"/>
    <n v="82543"/>
    <n v="89"/>
    <x v="4"/>
    <s v="ModelYCampaign"/>
  </r>
  <r>
    <s v="P216"/>
    <s v="YouTube"/>
    <d v="2024-07-29T00:00:00"/>
    <s v="Story"/>
    <s v="Check out our latest story on youtube!"/>
    <n v="1509"/>
    <n v="88"/>
    <n v="163"/>
    <n v="30180"/>
    <n v="29689"/>
    <n v="119"/>
    <x v="4"/>
    <s v="ModelYCampaign"/>
  </r>
  <r>
    <s v="P217"/>
    <s v="Facebook"/>
    <d v="2024-12-03T00:00:00"/>
    <s v="Image"/>
    <s v="Check out our latest image on facebook!"/>
    <n v="4606"/>
    <n v="931"/>
    <n v="230"/>
    <n v="92120"/>
    <n v="91440"/>
    <n v="56"/>
    <x v="2"/>
    <m/>
  </r>
  <r>
    <s v="P218"/>
    <s v="Facebook"/>
    <d v="2024-06-11T00:00:00"/>
    <s v="Carousel"/>
    <s v="Check out our latest carousel on facebook!"/>
    <n v="1869"/>
    <n v="453"/>
    <n v="490"/>
    <n v="14952"/>
    <n v="14309"/>
    <n v="275"/>
    <x v="2"/>
    <s v="SustainabilityDrive"/>
  </r>
  <r>
    <s v="P219"/>
    <s v="Twitter"/>
    <d v="2025-01-28T00:00:00"/>
    <s v="Reel"/>
    <s v="Check out our latest reel on twitter!"/>
    <n v="1188"/>
    <n v="470"/>
    <n v="174"/>
    <n v="7128"/>
    <n v="6145"/>
    <n v="270"/>
    <x v="2"/>
    <s v="SustainabilityDrive"/>
  </r>
  <r>
    <s v="P220"/>
    <s v="Instagram"/>
    <d v="2024-06-02T00:00:00"/>
    <s v="Story"/>
    <s v="Check out our latest story on instagram!"/>
    <n v="84"/>
    <n v="897"/>
    <n v="85"/>
    <n v="588"/>
    <n v="8"/>
    <n v="12"/>
    <x v="4"/>
    <m/>
  </r>
  <r>
    <s v="P221"/>
    <s v="Facebook"/>
    <d v="2025-03-23T00:00:00"/>
    <s v="Video"/>
    <s v="Check out our latest video on facebook!"/>
    <n v="4453"/>
    <n v="111"/>
    <n v="420"/>
    <n v="31171"/>
    <n v="30565"/>
    <n v="23"/>
    <x v="2"/>
    <m/>
  </r>
  <r>
    <s v="P222"/>
    <s v="Facebook"/>
    <d v="2024-10-08T00:00:00"/>
    <s v="Reel"/>
    <s v="Check out our latest reel on facebook!"/>
    <n v="1814"/>
    <n v="653"/>
    <n v="363"/>
    <n v="25396"/>
    <n v="25286"/>
    <n v="39"/>
    <x v="0"/>
    <s v="CybertruckLaunch"/>
  </r>
  <r>
    <s v="P222"/>
    <s v="Facebook"/>
    <d v="2024-10-08T00:00:00"/>
    <s v="Reel"/>
    <s v="Check out our latest reel on facebook!"/>
    <n v="1814"/>
    <n v="653"/>
    <n v="363"/>
    <n v="25396"/>
    <n v="25286"/>
    <n v="39"/>
    <x v="5"/>
    <s v="CybertruckLaunch"/>
  </r>
  <r>
    <s v="P223"/>
    <s v="Twitter"/>
    <d v="2024-11-12T00:00:00"/>
    <s v="Image"/>
    <s v="Check out our latest image on twitter!"/>
    <n v="3338"/>
    <n v="277"/>
    <n v="118"/>
    <n v="60084"/>
    <n v="59842"/>
    <n v="252"/>
    <x v="2"/>
    <m/>
  </r>
  <r>
    <s v="P224"/>
    <s v="Facebook"/>
    <d v="2025-05-13T00:00:00"/>
    <s v="Image"/>
    <s v="Check out our latest image on facebook!"/>
    <n v="602"/>
    <n v="594"/>
    <n v="156"/>
    <n v="4214"/>
    <n v="3363"/>
    <n v="164"/>
    <x v="2"/>
    <s v="FSDUpdate"/>
  </r>
  <r>
    <s v="P225"/>
    <s v="Twitter"/>
    <d v="2024-06-20T00:00:00"/>
    <s v="Carousel"/>
    <s v="Check out our latest carousel on twitter!"/>
    <n v="4672"/>
    <n v="325"/>
    <n v="32"/>
    <n v="88768"/>
    <n v="87833"/>
    <n v="118"/>
    <x v="4"/>
    <m/>
  </r>
  <r>
    <s v="P226"/>
    <s v="Instagram"/>
    <d v="2024-08-07T00:00:00"/>
    <s v="Carousel"/>
    <s v="Check out our latest carousel on instagram!"/>
    <n v="1741"/>
    <n v="164"/>
    <n v="318"/>
    <n v="8705"/>
    <n v="8272"/>
    <n v="121"/>
    <x v="2"/>
    <m/>
  </r>
  <r>
    <s v="P227"/>
    <s v="Instagram"/>
    <d v="2024-06-12T00:00:00"/>
    <s v="Text"/>
    <s v="Check out our latest text on instagram!"/>
    <n v="246"/>
    <n v="149"/>
    <n v="130"/>
    <n v="4674"/>
    <n v="4390"/>
    <n v="217"/>
    <x v="0"/>
    <s v="FSDUpdate"/>
  </r>
  <r>
    <s v="P228"/>
    <s v="Instagram"/>
    <d v="2024-07-01T00:00:00"/>
    <s v="Story"/>
    <s v="Check out our latest story on instagram!"/>
    <n v="4808"/>
    <n v="772"/>
    <n v="320"/>
    <n v="72120"/>
    <n v="71696"/>
    <n v="195"/>
    <x v="4"/>
    <s v="CybertruckLaunch"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x v="2"/>
    <m/>
  </r>
  <r>
    <s v="P230"/>
    <s v="Facebook"/>
    <d v="2024-07-15T00:00:00"/>
    <s v="Reel"/>
    <s v="Check out our latest reel on facebook!"/>
    <n v="3663"/>
    <n v="17"/>
    <n v="295"/>
    <n v="51282"/>
    <n v="50567"/>
    <n v="84"/>
    <x v="4"/>
    <s v="FSDUpdate"/>
  </r>
  <r>
    <s v="P231"/>
    <s v="Instagram"/>
    <d v="2025-05-01T00:00:00"/>
    <s v="Text"/>
    <s v="Check out our latest text on instagram!"/>
    <n v="1430"/>
    <n v="376"/>
    <n v="33"/>
    <n v="21450"/>
    <n v="20509"/>
    <n v="251"/>
    <x v="0"/>
    <s v="CybertruckLaunch"/>
  </r>
  <r>
    <s v="P232"/>
    <s v="Twitter"/>
    <d v="2025-04-29T00:00:00"/>
    <s v="Story"/>
    <s v="Check out our latest story on twitter!"/>
    <n v="249"/>
    <n v="592"/>
    <n v="230"/>
    <n v="1494"/>
    <n v="1044"/>
    <n v="201"/>
    <x v="4"/>
    <s v="SustainabilityDrive"/>
  </r>
  <r>
    <s v="P233"/>
    <s v="Facebook"/>
    <d v="2025-03-08T00:00:00"/>
    <s v="Image"/>
    <s v="Check out our latest image on facebook!"/>
    <n v="2382"/>
    <n v="265"/>
    <n v="134"/>
    <n v="38112"/>
    <n v="37437"/>
    <n v="249"/>
    <x v="0"/>
    <s v="SustainabilityDrive"/>
  </r>
  <r>
    <s v="P234"/>
    <s v="Facebook"/>
    <d v="2024-06-01T00:00:00"/>
    <s v="Text"/>
    <s v="Check out our latest text on facebook!"/>
    <n v="1272"/>
    <n v="465"/>
    <n v="99"/>
    <n v="24168"/>
    <n v="23719"/>
    <n v="42"/>
    <x v="2"/>
    <m/>
  </r>
  <r>
    <s v="P235"/>
    <s v="Facebook"/>
    <d v="2024-12-22T00:00:00"/>
    <s v="Image"/>
    <s v="Check out our latest image on facebook!"/>
    <n v="3196"/>
    <n v="941"/>
    <n v="376"/>
    <n v="35156"/>
    <n v="34444"/>
    <n v="241"/>
    <x v="2"/>
    <s v="FSDUpdate"/>
  </r>
  <r>
    <s v="P236"/>
    <s v="Facebook"/>
    <d v="2024-08-19T00:00:00"/>
    <s v="Text"/>
    <s v="Check out our latest text on facebook!"/>
    <n v="1257"/>
    <n v="19"/>
    <n v="351"/>
    <n v="12570"/>
    <n v="11660"/>
    <n v="194"/>
    <x v="0"/>
    <s v="ModelYCampaign"/>
  </r>
  <r>
    <s v="P236"/>
    <s v="Facebook"/>
    <d v="2024-08-19T00:00:00"/>
    <s v="Text"/>
    <s v="Check out our latest text on facebook!"/>
    <n v="1257"/>
    <n v="19"/>
    <n v="351"/>
    <n v="12570"/>
    <n v="11660"/>
    <n v="194"/>
    <x v="1"/>
    <s v="ModelYCampaign"/>
  </r>
  <r>
    <s v="P236"/>
    <s v="Facebook"/>
    <d v="2024-08-19T00:00:00"/>
    <s v="Text"/>
    <s v="Check out our latest text on facebook!"/>
    <n v="1257"/>
    <n v="19"/>
    <n v="351"/>
    <n v="12570"/>
    <n v="11660"/>
    <n v="194"/>
    <x v="4"/>
    <s v="ModelYCampaign"/>
  </r>
  <r>
    <s v="P237"/>
    <s v="Instagram"/>
    <d v="2024-10-22T00:00:00"/>
    <s v="Story"/>
    <s v="Check out our latest story on instagram!"/>
    <n v="3770"/>
    <n v="917"/>
    <n v="129"/>
    <n v="71630"/>
    <n v="71322"/>
    <n v="76"/>
    <x v="0"/>
    <s v="CybertruckLaunch"/>
  </r>
  <r>
    <s v="P238"/>
    <s v="Twitter"/>
    <d v="2024-07-16T00:00:00"/>
    <s v="Text"/>
    <s v="Check out our latest text on twitter!"/>
    <n v="4725"/>
    <n v="400"/>
    <n v="362"/>
    <n v="75600"/>
    <n v="74927"/>
    <n v="43"/>
    <x v="0"/>
    <s v="SustainabilityDrive"/>
  </r>
  <r>
    <s v="P239"/>
    <s v="YouTube"/>
    <d v="2025-02-24T00:00:00"/>
    <s v="Text"/>
    <s v="Check out our latest text on youtube!"/>
    <n v="4188"/>
    <n v="942"/>
    <n v="118"/>
    <n v="20940"/>
    <n v="20471"/>
    <n v="102"/>
    <x v="0"/>
    <m/>
  </r>
  <r>
    <s v="P240"/>
    <s v="Twitter"/>
    <d v="2024-08-26T00:00:00"/>
    <s v="Carousel"/>
    <s v="Check out our latest carousel on twitter!"/>
    <n v="929"/>
    <n v="192"/>
    <n v="322"/>
    <n v="16722"/>
    <n v="15996"/>
    <n v="145"/>
    <x v="4"/>
    <s v="FSDUpdate"/>
  </r>
  <r>
    <s v="P240"/>
    <s v="Twitter"/>
    <d v="2024-08-26T00:00:00"/>
    <s v="Carousel"/>
    <s v="Check out our latest carousel on twitter!"/>
    <n v="929"/>
    <n v="192"/>
    <n v="322"/>
    <n v="16722"/>
    <n v="15996"/>
    <n v="145"/>
    <x v="2"/>
    <s v="FSDUpdate"/>
  </r>
  <r>
    <s v="P240"/>
    <s v="Twitter"/>
    <d v="2024-08-26T00:00:00"/>
    <s v="Carousel"/>
    <s v="Check out our latest carousel on twitter!"/>
    <n v="929"/>
    <n v="192"/>
    <n v="322"/>
    <n v="16722"/>
    <n v="15996"/>
    <n v="145"/>
    <x v="1"/>
    <s v="FSDUpdate"/>
  </r>
  <r>
    <s v="P241"/>
    <s v="Facebook"/>
    <d v="2025-01-18T00:00:00"/>
    <s v="Story"/>
    <s v="Check out our latest story on facebook!"/>
    <n v="4321"/>
    <n v="874"/>
    <n v="172"/>
    <n v="30247"/>
    <n v="29254"/>
    <n v="122"/>
    <x v="2"/>
    <s v="SustainabilityDrive"/>
  </r>
  <r>
    <s v="P242"/>
    <s v="Facebook"/>
    <d v="2024-07-07T00:00:00"/>
    <s v="Reel"/>
    <s v="Check out our latest reel on facebook!"/>
    <n v="4767"/>
    <n v="190"/>
    <n v="340"/>
    <n v="28602"/>
    <n v="28044"/>
    <n v="210"/>
    <x v="4"/>
    <s v="FSDUpdate"/>
  </r>
  <r>
    <s v="P243"/>
    <s v="Twitter"/>
    <d v="2025-03-06T00:00:00"/>
    <s v="Image"/>
    <s v="Check out our latest image on twitter!"/>
    <n v="3592"/>
    <n v="911"/>
    <n v="375"/>
    <n v="50288"/>
    <n v="49490"/>
    <n v="32"/>
    <x v="0"/>
    <s v="SustainabilityDrive"/>
  </r>
  <r>
    <s v="P244"/>
    <s v="YouTube"/>
    <d v="2024-10-25T00:00:00"/>
    <s v="Video"/>
    <s v="Check out our latest video on youtube!"/>
    <n v="4661"/>
    <n v="935"/>
    <n v="433"/>
    <n v="23305"/>
    <n v="22583"/>
    <n v="63"/>
    <x v="0"/>
    <s v="FSDUpdate"/>
  </r>
  <r>
    <s v="P245"/>
    <s v="Facebook"/>
    <d v="2025-01-12T00:00:00"/>
    <s v="Reel"/>
    <s v="Check out our latest reel on facebook!"/>
    <n v="4134"/>
    <n v="824"/>
    <n v="99"/>
    <n v="41340"/>
    <n v="41050"/>
    <n v="177"/>
    <x v="4"/>
    <s v="CybertruckLaunch"/>
  </r>
  <r>
    <s v="P246"/>
    <s v="Facebook"/>
    <d v="2024-10-11T00:00:00"/>
    <s v="Image"/>
    <s v="Check out our latest image on facebook!"/>
    <n v="400"/>
    <n v="680"/>
    <n v="434"/>
    <n v="6400"/>
    <n v="5472"/>
    <n v="160"/>
    <x v="0"/>
    <s v="ModelYCampaign"/>
  </r>
  <r>
    <s v="P247"/>
    <s v="Facebook"/>
    <d v="2024-08-27T00:00:00"/>
    <s v="Reel"/>
    <s v="Check out our latest reel on facebook!"/>
    <n v="3960"/>
    <n v="266"/>
    <n v="8"/>
    <n v="35640"/>
    <n v="34850"/>
    <n v="208"/>
    <x v="0"/>
    <m/>
  </r>
  <r>
    <s v="P247"/>
    <s v="Facebook"/>
    <d v="2024-08-27T00:00:00"/>
    <s v="Reel"/>
    <s v="Check out our latest reel on facebook!"/>
    <n v="3960"/>
    <n v="266"/>
    <n v="8"/>
    <n v="35640"/>
    <n v="34850"/>
    <n v="208"/>
    <x v="4"/>
    <m/>
  </r>
  <r>
    <s v="P247"/>
    <s v="Facebook"/>
    <d v="2024-08-27T00:00:00"/>
    <s v="Reel"/>
    <s v="Check out our latest reel on facebook!"/>
    <n v="3960"/>
    <n v="266"/>
    <n v="8"/>
    <n v="35640"/>
    <n v="34850"/>
    <n v="208"/>
    <x v="3"/>
    <m/>
  </r>
  <r>
    <s v="P248"/>
    <s v="Facebook"/>
    <d v="2025-02-02T00:00:00"/>
    <s v="Story"/>
    <s v="Check out our latest story on facebook!"/>
    <n v="886"/>
    <n v="126"/>
    <n v="153"/>
    <n v="4430"/>
    <n v="4037"/>
    <n v="212"/>
    <x v="4"/>
    <m/>
  </r>
  <r>
    <s v="P249"/>
    <s v="Twitter"/>
    <d v="2024-07-18T00:00:00"/>
    <s v="Image"/>
    <s v="Check out our latest image on twitter!"/>
    <n v="827"/>
    <n v="77"/>
    <n v="402"/>
    <n v="14886"/>
    <n v="14129"/>
    <n v="254"/>
    <x v="4"/>
    <s v="ModelYCampaign"/>
  </r>
  <r>
    <s v="P250"/>
    <s v="Facebook"/>
    <d v="2024-06-22T00:00:00"/>
    <s v="Reel"/>
    <s v="Check out our latest reel on facebook!"/>
    <n v="3813"/>
    <n v="935"/>
    <n v="274"/>
    <n v="68634"/>
    <n v="68488"/>
    <n v="251"/>
    <x v="0"/>
    <m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x v="0"/>
    <m/>
  </r>
  <r>
    <s v="P252"/>
    <s v="Facebook"/>
    <d v="2025-04-28T00:00:00"/>
    <s v="Carousel"/>
    <s v="Check out our latest carousel on facebook!"/>
    <n v="2089"/>
    <n v="476"/>
    <n v="69"/>
    <n v="16712"/>
    <n v="16309"/>
    <n v="64"/>
    <x v="0"/>
    <s v="FSDUpdate"/>
  </r>
  <r>
    <s v="P253"/>
    <s v="Twitter"/>
    <d v="2024-08-03T00:00:00"/>
    <s v="Reel"/>
    <s v="Check out our latest reel on twitter!"/>
    <n v="3791"/>
    <n v="593"/>
    <n v="228"/>
    <n v="53074"/>
    <n v="52613"/>
    <n v="205"/>
    <x v="4"/>
    <m/>
  </r>
  <r>
    <s v="P254"/>
    <s v="Twitter"/>
    <d v="2025-01-14T00:00:00"/>
    <s v="Image"/>
    <s v="Check out our latest image on twitter!"/>
    <n v="2692"/>
    <n v="115"/>
    <n v="64"/>
    <n v="21536"/>
    <n v="21120"/>
    <n v="224"/>
    <x v="0"/>
    <s v="ModelYCampaign"/>
  </r>
  <r>
    <s v="P255"/>
    <s v="Facebook"/>
    <d v="2025-04-03T00:00:00"/>
    <s v="Story"/>
    <s v="Check out our latest story on facebook!"/>
    <n v="3767"/>
    <n v="514"/>
    <n v="238"/>
    <n v="37670"/>
    <n v="36807"/>
    <n v="226"/>
    <x v="0"/>
    <s v="SustainabilityDrive"/>
  </r>
  <r>
    <s v="P256"/>
    <s v="YouTube"/>
    <d v="2024-09-18T00:00:00"/>
    <s v="Carousel"/>
    <s v="Check out our latest carousel on youtube!"/>
    <n v="2143"/>
    <n v="12"/>
    <n v="204"/>
    <n v="40717"/>
    <n v="40125"/>
    <n v="248"/>
    <x v="4"/>
    <s v="ModelYCampaign"/>
  </r>
  <r>
    <s v="P257"/>
    <s v="Facebook"/>
    <d v="2025-04-06T00:00:00"/>
    <s v="Image"/>
    <s v="Check out our latest image on facebook!"/>
    <n v="3090"/>
    <n v="697"/>
    <n v="164"/>
    <n v="49440"/>
    <n v="48524"/>
    <n v="25"/>
    <x v="4"/>
    <s v="ModelYCampaign"/>
  </r>
  <r>
    <s v="P257"/>
    <s v="Facebook"/>
    <d v="2025-04-06T00:00:00"/>
    <s v="Image"/>
    <s v="Check out our latest image on facebook!"/>
    <n v="3090"/>
    <n v="697"/>
    <n v="164"/>
    <n v="49440"/>
    <n v="48524"/>
    <n v="25"/>
    <x v="4"/>
    <s v="ModelYCampaign"/>
  </r>
  <r>
    <s v="P257"/>
    <s v="Facebook"/>
    <d v="2025-04-06T00:00:00"/>
    <s v="Image"/>
    <s v="Check out our latest image on facebook!"/>
    <n v="3090"/>
    <n v="697"/>
    <n v="164"/>
    <n v="49440"/>
    <n v="48524"/>
    <n v="25"/>
    <x v="3"/>
    <s v="ModelYCampaign"/>
  </r>
  <r>
    <s v="P258"/>
    <s v="Instagram"/>
    <d v="2024-08-05T00:00:00"/>
    <s v="Story"/>
    <s v="Check out our latest story on instagram!"/>
    <n v="3601"/>
    <n v="695"/>
    <n v="75"/>
    <n v="21606"/>
    <n v="21454"/>
    <n v="172"/>
    <x v="4"/>
    <s v="ModelYCampaign"/>
  </r>
  <r>
    <s v="P259"/>
    <s v="Facebook"/>
    <d v="2025-02-10T00:00:00"/>
    <s v="Text"/>
    <s v="Check out our latest text on facebook!"/>
    <n v="562"/>
    <n v="158"/>
    <n v="149"/>
    <n v="3372"/>
    <n v="2940"/>
    <n v="93"/>
    <x v="2"/>
    <s v="CybertruckLaunch"/>
  </r>
  <r>
    <s v="P260"/>
    <s v="Instagram"/>
    <d v="2025-02-12T00:00:00"/>
    <s v="Story"/>
    <s v="Check out our latest story on instagram!"/>
    <n v="4332"/>
    <n v="771"/>
    <n v="219"/>
    <n v="60648"/>
    <n v="60397"/>
    <n v="10"/>
    <x v="2"/>
    <s v="FSDUpdate"/>
  </r>
  <r>
    <s v="P260"/>
    <s v="Instagram"/>
    <d v="2025-02-12T00:00:00"/>
    <s v="Story"/>
    <s v="Check out our latest story on instagram!"/>
    <n v="4332"/>
    <n v="771"/>
    <n v="219"/>
    <n v="60648"/>
    <n v="60397"/>
    <n v="10"/>
    <x v="4"/>
    <s v="FSDUpdate"/>
  </r>
  <r>
    <s v="P260"/>
    <s v="Instagram"/>
    <d v="2025-02-12T00:00:00"/>
    <s v="Story"/>
    <s v="Check out our latest story on instagram!"/>
    <n v="4332"/>
    <n v="771"/>
    <n v="219"/>
    <n v="60648"/>
    <n v="60397"/>
    <n v="10"/>
    <x v="3"/>
    <s v="FSDUpdate"/>
  </r>
  <r>
    <s v="P261"/>
    <s v="Instagram"/>
    <d v="2024-10-27T00:00:00"/>
    <s v="Image"/>
    <s v="Check out our latest image on instagram!"/>
    <n v="4853"/>
    <n v="837"/>
    <n v="340"/>
    <n v="72795"/>
    <n v="72237"/>
    <n v="170"/>
    <x v="4"/>
    <s v="CybertruckLaunch"/>
  </r>
  <r>
    <s v="P262"/>
    <s v="YouTube"/>
    <d v="2025-01-18T00:00:00"/>
    <s v="Image"/>
    <s v="Check out our latest image on youtube!"/>
    <n v="1206"/>
    <n v="238"/>
    <n v="36"/>
    <n v="9648"/>
    <n v="9417"/>
    <n v="237"/>
    <x v="2"/>
    <m/>
  </r>
  <r>
    <s v="P263"/>
    <s v="Instagram"/>
    <d v="2024-08-20T00:00:00"/>
    <s v="Reel"/>
    <s v="Check out our latest reel on instagram!"/>
    <n v="2603"/>
    <n v="690"/>
    <n v="205"/>
    <n v="13015"/>
    <n v="12130"/>
    <n v="20"/>
    <x v="0"/>
    <s v="ModelYCampaign"/>
  </r>
  <r>
    <s v="P264"/>
    <s v="Twitter"/>
    <d v="2025-01-30T00:00:00"/>
    <s v="Image"/>
    <s v="Check out our latest image on twitter!"/>
    <n v="59"/>
    <n v="163"/>
    <n v="93"/>
    <n v="590"/>
    <n v="475"/>
    <n v="293"/>
    <x v="2"/>
    <s v="ModelYCampaign"/>
  </r>
  <r>
    <s v="P265"/>
    <s v="Twitter"/>
    <d v="2025-02-20T00:00:00"/>
    <s v="Carousel"/>
    <s v="Check out our latest carousel on twitter!"/>
    <n v="1877"/>
    <n v="745"/>
    <n v="225"/>
    <n v="11262"/>
    <n v="10967"/>
    <n v="41"/>
    <x v="4"/>
    <s v="SustainabilityDrive"/>
  </r>
  <r>
    <s v="P266"/>
    <s v="Facebook"/>
    <d v="2024-11-25T00:00:00"/>
    <s v="Story"/>
    <s v="Check out our latest story on facebook!"/>
    <n v="4182"/>
    <n v="640"/>
    <n v="240"/>
    <n v="50184"/>
    <n v="49351"/>
    <n v="10"/>
    <x v="2"/>
    <s v="FSDUpdate"/>
  </r>
  <r>
    <s v="P267"/>
    <s v="Twitter"/>
    <d v="2024-10-04T00:00:00"/>
    <s v="Reel"/>
    <s v="Check out our latest reel on twitter!"/>
    <n v="4187"/>
    <n v="66"/>
    <n v="31"/>
    <n v="66992"/>
    <n v="66614"/>
    <n v="62"/>
    <x v="0"/>
    <m/>
  </r>
  <r>
    <s v="P268"/>
    <s v="Instagram"/>
    <d v="2025-04-13T00:00:00"/>
    <s v="Reel"/>
    <s v="Check out our latest reel on instagram!"/>
    <n v="4579"/>
    <n v="125"/>
    <n v="300"/>
    <n v="59527"/>
    <n v="59400"/>
    <n v="269"/>
    <x v="4"/>
    <s v="CybertruckLaunch"/>
  </r>
  <r>
    <s v="P269"/>
    <s v="Instagram"/>
    <d v="2024-11-05T00:00:00"/>
    <s v="Video"/>
    <s v="Check out our latest video on instagram!"/>
    <n v="4561"/>
    <n v="51"/>
    <n v="441"/>
    <n v="22805"/>
    <n v="21890"/>
    <n v="45"/>
    <x v="2"/>
    <s v="ModelYCampaign"/>
  </r>
  <r>
    <s v="P270"/>
    <s v="YouTube"/>
    <d v="2025-01-15T00:00:00"/>
    <s v="Reel"/>
    <s v="Check out our latest reel on youtube!"/>
    <n v="3774"/>
    <n v="239"/>
    <n v="39"/>
    <n v="60384"/>
    <n v="59490"/>
    <n v="241"/>
    <x v="2"/>
    <s v="FSDUpdate"/>
  </r>
  <r>
    <s v="P271"/>
    <s v="Instagram"/>
    <d v="2024-10-17T00:00:00"/>
    <s v="Video"/>
    <s v="Check out our latest video on instagram!"/>
    <n v="3575"/>
    <n v="749"/>
    <n v="111"/>
    <n v="21450"/>
    <n v="20785"/>
    <n v="195"/>
    <x v="4"/>
    <s v="ModelYCampaign"/>
  </r>
  <r>
    <s v="P272"/>
    <s v="Instagram"/>
    <d v="2025-03-27T00:00:00"/>
    <s v="Text"/>
    <s v="Check out our latest text on instagram!"/>
    <n v="4941"/>
    <n v="414"/>
    <n v="266"/>
    <n v="39528"/>
    <n v="39154"/>
    <n v="217"/>
    <x v="2"/>
    <s v="FSDUpdate"/>
  </r>
  <r>
    <s v="P273"/>
    <s v="YouTube"/>
    <d v="2024-10-12T00:00:00"/>
    <s v="Story"/>
    <s v="Check out our latest story on youtube!"/>
    <n v="3641"/>
    <n v="226"/>
    <n v="46"/>
    <n v="40051"/>
    <n v="39319"/>
    <n v="296"/>
    <x v="4"/>
    <s v="SustainabilityDrive"/>
  </r>
  <r>
    <s v="P274"/>
    <s v="Twitter"/>
    <d v="2025-01-01T00:00:00"/>
    <s v="Carousel"/>
    <s v="Check out our latest carousel on twitter!"/>
    <n v="3535"/>
    <n v="494"/>
    <n v="152"/>
    <n v="53025"/>
    <n v="52791"/>
    <n v="44"/>
    <x v="2"/>
    <s v="SustainabilityDrive"/>
  </r>
  <r>
    <s v="P275"/>
    <s v="Facebook"/>
    <d v="2024-08-05T00:00:00"/>
    <s v="Reel"/>
    <s v="Check out our latest reel on facebook!"/>
    <n v="1741"/>
    <n v="831"/>
    <n v="345"/>
    <n v="17410"/>
    <n v="16844"/>
    <n v="58"/>
    <x v="4"/>
    <s v="FSDUpdate"/>
  </r>
  <r>
    <s v="P276"/>
    <s v="Twitter"/>
    <d v="2024-06-07T00:00:00"/>
    <s v="Carousel"/>
    <s v="Check out our latest carousel on twitter!"/>
    <n v="1556"/>
    <n v="195"/>
    <n v="131"/>
    <n v="9336"/>
    <n v="8875"/>
    <n v="137"/>
    <x v="2"/>
    <s v="ModelYCampaign"/>
  </r>
  <r>
    <s v="P277"/>
    <s v="Facebook"/>
    <d v="2025-04-06T00:00:00"/>
    <s v="Image"/>
    <s v="Check out our latest image on facebook!"/>
    <n v="4236"/>
    <n v="711"/>
    <n v="298"/>
    <n v="21180"/>
    <n v="20516"/>
    <n v="238"/>
    <x v="0"/>
    <s v="CybertruckLaunch"/>
  </r>
  <r>
    <s v="P278"/>
    <s v="Twitter"/>
    <d v="2024-11-26T00:00:00"/>
    <s v="Text"/>
    <s v="Check out our latest text on twitter!"/>
    <n v="4516"/>
    <n v="836"/>
    <n v="169"/>
    <n v="49676"/>
    <n v="49257"/>
    <n v="282"/>
    <x v="4"/>
    <s v="SustainabilityDrive"/>
  </r>
  <r>
    <s v="P279"/>
    <s v="YouTube"/>
    <d v="2024-09-02T00:00:00"/>
    <s v="Image"/>
    <s v="Check out our latest image on youtube!"/>
    <n v="4905"/>
    <n v="845"/>
    <n v="129"/>
    <n v="98100"/>
    <n v="97772"/>
    <n v="279"/>
    <x v="2"/>
    <s v="ModelYCampaign"/>
  </r>
  <r>
    <s v="P280"/>
    <s v="YouTube"/>
    <d v="2024-10-21T00:00:00"/>
    <s v="Video"/>
    <s v="Check out our latest video on youtube!"/>
    <n v="4275"/>
    <n v="680"/>
    <n v="385"/>
    <n v="64125"/>
    <n v="63650"/>
    <n v="104"/>
    <x v="4"/>
    <s v="SustainabilityDrive"/>
  </r>
  <r>
    <s v="P280"/>
    <s v="YouTube"/>
    <d v="2024-10-21T00:00:00"/>
    <s v="Video"/>
    <s v="Check out our latest video on youtube!"/>
    <n v="4275"/>
    <n v="680"/>
    <n v="385"/>
    <n v="64125"/>
    <n v="63650"/>
    <n v="104"/>
    <x v="2"/>
    <s v="SustainabilityDrive"/>
  </r>
  <r>
    <s v="P280"/>
    <s v="YouTube"/>
    <d v="2024-10-21T00:00:00"/>
    <s v="Video"/>
    <s v="Check out our latest video on youtube!"/>
    <n v="4275"/>
    <n v="680"/>
    <n v="385"/>
    <n v="64125"/>
    <n v="63650"/>
    <n v="104"/>
    <x v="1"/>
    <s v="SustainabilityDrive"/>
  </r>
  <r>
    <s v="P281"/>
    <s v="YouTube"/>
    <d v="2025-03-22T00:00:00"/>
    <s v="Image"/>
    <s v="Check out our latest image on youtube!"/>
    <n v="3166"/>
    <n v="90"/>
    <n v="341"/>
    <n v="56988"/>
    <n v="56125"/>
    <n v="135"/>
    <x v="4"/>
    <s v="ModelYCampaign"/>
  </r>
  <r>
    <s v="P282"/>
    <s v="Instagram"/>
    <d v="2024-10-03T00:00:00"/>
    <s v="Video"/>
    <s v="Check out our latest video on instagram!"/>
    <n v="1488"/>
    <n v="417"/>
    <n v="168"/>
    <n v="19344"/>
    <n v="18395"/>
    <n v="30"/>
    <x v="0"/>
    <s v="FSDUpdate"/>
  </r>
  <r>
    <s v="P283"/>
    <s v="Twitter"/>
    <d v="2025-05-09T00:00:00"/>
    <s v="Reel"/>
    <s v="Check out our latest reel on twitter!"/>
    <n v="3367"/>
    <n v="302"/>
    <n v="57"/>
    <n v="63973"/>
    <n v="63789"/>
    <n v="157"/>
    <x v="0"/>
    <s v="ModelYCampaign"/>
  </r>
  <r>
    <s v="P284"/>
    <s v="Twitter"/>
    <d v="2024-09-17T00:00:00"/>
    <s v="Text"/>
    <s v="Check out our latest text on twitter!"/>
    <n v="571"/>
    <n v="190"/>
    <n v="352"/>
    <n v="9707"/>
    <n v="9418"/>
    <n v="231"/>
    <x v="2"/>
    <s v="SustainabilityDrive"/>
  </r>
  <r>
    <s v="P285"/>
    <s v="YouTube"/>
    <d v="2024-07-18T00:00:00"/>
    <s v="Text"/>
    <s v="Check out our latest text on youtube!"/>
    <n v="4021"/>
    <n v="794"/>
    <n v="77"/>
    <n v="36189"/>
    <n v="35505"/>
    <n v="174"/>
    <x v="4"/>
    <m/>
  </r>
  <r>
    <s v="P286"/>
    <s v="YouTube"/>
    <d v="2024-09-25T00:00:00"/>
    <s v="Video"/>
    <s v="Check out our latest video on youtube!"/>
    <n v="3389"/>
    <n v="344"/>
    <n v="229"/>
    <n v="20334"/>
    <n v="19443"/>
    <n v="228"/>
    <x v="0"/>
    <s v="FSDUpdate"/>
  </r>
  <r>
    <s v="P287"/>
    <s v="Instagram"/>
    <d v="2024-08-15T00:00:00"/>
    <s v="Reel"/>
    <s v="Check out our latest reel on instagram!"/>
    <n v="1164"/>
    <n v="616"/>
    <n v="324"/>
    <n v="6984"/>
    <n v="6636"/>
    <n v="82"/>
    <x v="4"/>
    <s v="CybertruckLaunch"/>
  </r>
  <r>
    <s v="P288"/>
    <s v="YouTube"/>
    <d v="2025-04-17T00:00:00"/>
    <s v="Carousel"/>
    <s v="Check out our latest carousel on youtube!"/>
    <n v="4780"/>
    <n v="691"/>
    <n v="380"/>
    <n v="86040"/>
    <n v="85743"/>
    <n v="262"/>
    <x v="0"/>
    <s v="FSDUpdate"/>
  </r>
  <r>
    <s v="P289"/>
    <s v="Facebook"/>
    <d v="2024-11-28T00:00:00"/>
    <s v="Carousel"/>
    <s v="Check out our latest carousel on facebook!"/>
    <n v="2751"/>
    <n v="33"/>
    <n v="430"/>
    <n v="44016"/>
    <n v="43415"/>
    <n v="129"/>
    <x v="0"/>
    <m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x v="4"/>
    <s v="SustainabilityDrive"/>
  </r>
  <r>
    <s v="P291"/>
    <s v="Facebook"/>
    <d v="2024-11-06T00:00:00"/>
    <s v="Video"/>
    <s v="Check out our latest video on facebook!"/>
    <n v="4663"/>
    <n v="145"/>
    <n v="225"/>
    <n v="69945"/>
    <n v="69596"/>
    <n v="35"/>
    <x v="4"/>
    <s v="SustainabilityDrive"/>
  </r>
  <r>
    <s v="P292"/>
    <s v="Facebook"/>
    <d v="2024-11-17T00:00:00"/>
    <s v="Text"/>
    <s v="Check out our latest text on facebook!"/>
    <n v="880"/>
    <n v="297"/>
    <n v="345"/>
    <n v="12320"/>
    <n v="11978"/>
    <n v="238"/>
    <x v="2"/>
    <m/>
  </r>
  <r>
    <s v="P292"/>
    <s v="Facebook"/>
    <d v="2024-11-17T00:00:00"/>
    <s v="Text"/>
    <s v="Check out our latest text on facebook!"/>
    <n v="880"/>
    <n v="297"/>
    <n v="345"/>
    <n v="12320"/>
    <n v="11978"/>
    <n v="238"/>
    <x v="1"/>
    <m/>
  </r>
  <r>
    <s v="P293"/>
    <s v="Facebook"/>
    <d v="2025-05-14T00:00:00"/>
    <s v="Text"/>
    <s v="Check out our latest text on facebook!"/>
    <n v="2634"/>
    <n v="726"/>
    <n v="241"/>
    <n v="28974"/>
    <n v="28102"/>
    <n v="277"/>
    <x v="4"/>
    <s v="CybertruckLaunch"/>
  </r>
  <r>
    <s v="P294"/>
    <s v="Facebook"/>
    <d v="2024-06-19T00:00:00"/>
    <s v="Carousel"/>
    <s v="Check out our latest carousel on facebook!"/>
    <n v="4731"/>
    <n v="173"/>
    <n v="276"/>
    <n v="28386"/>
    <n v="28185"/>
    <n v="89"/>
    <x v="4"/>
    <s v="FSDUpdate"/>
  </r>
  <r>
    <s v="P295"/>
    <s v="Twitter"/>
    <d v="2025-05-06T00:00:00"/>
    <s v="Image"/>
    <s v="Check out our latest image on twitter!"/>
    <n v="1952"/>
    <n v="344"/>
    <n v="287"/>
    <n v="15616"/>
    <n v="15403"/>
    <n v="235"/>
    <x v="0"/>
    <s v="ModelYCampaign"/>
  </r>
  <r>
    <s v="P295"/>
    <s v="Twitter"/>
    <d v="2025-05-06T00:00:00"/>
    <s v="Image"/>
    <s v="Check out our latest image on twitter!"/>
    <n v="1952"/>
    <n v="344"/>
    <n v="287"/>
    <n v="15616"/>
    <n v="15403"/>
    <n v="235"/>
    <x v="2"/>
    <s v="ModelYCampaign"/>
  </r>
  <r>
    <s v="P295"/>
    <s v="Twitter"/>
    <d v="2025-05-06T00:00:00"/>
    <s v="Image"/>
    <s v="Check out our latest image on twitter!"/>
    <n v="1952"/>
    <n v="344"/>
    <n v="287"/>
    <n v="15616"/>
    <n v="15403"/>
    <n v="235"/>
    <x v="1"/>
    <s v="ModelYCampaign"/>
  </r>
  <r>
    <s v="P296"/>
    <s v="Twitter"/>
    <d v="2025-02-11T00:00:00"/>
    <s v="Video"/>
    <s v="Check out our latest video on twitter!"/>
    <n v="3440"/>
    <n v="13"/>
    <n v="20"/>
    <n v="58480"/>
    <n v="58146"/>
    <n v="210"/>
    <x v="2"/>
    <s v="SustainabilityDrive"/>
  </r>
  <r>
    <s v="P296"/>
    <s v="Twitter"/>
    <d v="2025-02-11T00:00:00"/>
    <s v="Video"/>
    <s v="Check out our latest video on twitter!"/>
    <n v="3440"/>
    <n v="13"/>
    <n v="20"/>
    <n v="58480"/>
    <n v="58146"/>
    <n v="210"/>
    <x v="5"/>
    <s v="SustainabilityDrive"/>
  </r>
  <r>
    <s v="P297"/>
    <s v="Twitter"/>
    <d v="2024-12-24T00:00:00"/>
    <s v="Text"/>
    <s v="Check out our latest text on twitter!"/>
    <n v="2166"/>
    <n v="354"/>
    <n v="117"/>
    <n v="10830"/>
    <n v="10245"/>
    <n v="24"/>
    <x v="4"/>
    <s v="SustainabilityDrive"/>
  </r>
  <r>
    <s v="P298"/>
    <s v="Facebook"/>
    <d v="2024-10-24T00:00:00"/>
    <s v="Image"/>
    <s v="Check out our latest image on facebook!"/>
    <n v="4303"/>
    <n v="451"/>
    <n v="286"/>
    <n v="86060"/>
    <n v="85823"/>
    <n v="14"/>
    <x v="2"/>
    <s v="FSDUpdate"/>
  </r>
  <r>
    <s v="P299"/>
    <s v="Facebook"/>
    <d v="2024-08-26T00:00:00"/>
    <s v="Image"/>
    <s v="Check out our latest image on facebook!"/>
    <n v="2581"/>
    <n v="517"/>
    <n v="117"/>
    <n v="23229"/>
    <n v="22331"/>
    <n v="70"/>
    <x v="0"/>
    <s v="FSDUpdate"/>
  </r>
  <r>
    <s v="P300"/>
    <s v="Twitter"/>
    <d v="2024-08-31T00:00:00"/>
    <s v="Carousel"/>
    <s v="Check out our latest carousel on twitter!"/>
    <n v="4494"/>
    <n v="717"/>
    <n v="45"/>
    <n v="62916"/>
    <n v="62688"/>
    <n v="191"/>
    <x v="2"/>
    <s v="CybertruckLaunch"/>
  </r>
  <r>
    <s v="P300"/>
    <s v="Twitter"/>
    <d v="2024-08-31T00:00:00"/>
    <s v="Carousel"/>
    <s v="Check out our latest carousel on twitter!"/>
    <n v="4494"/>
    <n v="717"/>
    <n v="45"/>
    <n v="62916"/>
    <n v="62688"/>
    <n v="191"/>
    <x v="4"/>
    <s v="CybertruckLaunch"/>
  </r>
  <r>
    <s v="P300"/>
    <s v="Twitter"/>
    <d v="2024-08-31T00:00:00"/>
    <s v="Carousel"/>
    <s v="Check out our latest carousel on twitter!"/>
    <n v="4494"/>
    <n v="717"/>
    <n v="45"/>
    <n v="62916"/>
    <n v="62688"/>
    <n v="191"/>
    <x v="3"/>
    <s v="CybertruckLaunch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n v="1461"/>
    <n v="184"/>
    <n v="344"/>
    <n v="21915"/>
    <n v="9.075975359342916"/>
  </r>
  <r>
    <s v="P002"/>
    <x v="0"/>
    <n v="4054"/>
    <n v="389"/>
    <n v="493"/>
    <n v="64864"/>
    <n v="7.6097681302417373"/>
  </r>
  <r>
    <s v="P003"/>
    <x v="1"/>
    <n v="2795"/>
    <n v="105"/>
    <n v="49"/>
    <n v="53105"/>
    <n v="5.5531494209584791"/>
  </r>
  <r>
    <s v="P004"/>
    <x v="2"/>
    <n v="2404"/>
    <n v="363"/>
    <n v="138"/>
    <n v="19232"/>
    <n v="15.105033277870216"/>
  </r>
  <r>
    <s v="P005"/>
    <x v="1"/>
    <n v="3557"/>
    <n v="687"/>
    <n v="424"/>
    <n v="71140"/>
    <n v="6.5617093055946025"/>
  </r>
  <r>
    <s v="P006"/>
    <x v="3"/>
    <n v="2945"/>
    <n v="930"/>
    <n v="355"/>
    <n v="23560"/>
    <n v="17.954159592529713"/>
  </r>
  <r>
    <s v="P007"/>
    <x v="0"/>
    <n v="3860"/>
    <n v="201"/>
    <n v="279"/>
    <n v="61760"/>
    <n v="7.0272020725388602"/>
  </r>
  <r>
    <s v="P008"/>
    <x v="1"/>
    <n v="3929"/>
    <n v="262"/>
    <n v="278"/>
    <n v="43219"/>
    <n v="10.340359564080613"/>
  </r>
  <r>
    <s v="P009"/>
    <x v="3"/>
    <n v="3784"/>
    <n v="808"/>
    <n v="404"/>
    <n v="56760"/>
    <n v="8.8019732205778709"/>
  </r>
  <r>
    <s v="P010"/>
    <x v="3"/>
    <n v="4241"/>
    <n v="902"/>
    <n v="47"/>
    <n v="72097"/>
    <n v="7.1986351720598645"/>
  </r>
  <r>
    <s v="P011"/>
    <x v="2"/>
    <n v="1792"/>
    <n v="614"/>
    <n v="497"/>
    <n v="25088"/>
    <n v="11.571269132653061"/>
  </r>
  <r>
    <s v="P012"/>
    <x v="3"/>
    <n v="1946"/>
    <n v="686"/>
    <n v="377"/>
    <n v="23352"/>
    <n v="12.885405960945528"/>
  </r>
  <r>
    <s v="P013"/>
    <x v="1"/>
    <n v="1171"/>
    <n v="286"/>
    <n v="231"/>
    <n v="22249"/>
    <n v="7.5868578363072494"/>
  </r>
  <r>
    <s v="P014"/>
    <x v="3"/>
    <n v="4242"/>
    <n v="555"/>
    <n v="131"/>
    <n v="33936"/>
    <n v="14.521452145214523"/>
  </r>
  <r>
    <s v="P015"/>
    <x v="3"/>
    <n v="3888"/>
    <n v="604"/>
    <n v="128"/>
    <n v="77760"/>
    <n v="5.9413580246913584"/>
  </r>
  <r>
    <s v="P016"/>
    <x v="3"/>
    <n v="3452"/>
    <n v="377"/>
    <n v="360"/>
    <n v="55232"/>
    <n v="7.5843713789107756"/>
  </r>
  <r>
    <s v="P017"/>
    <x v="3"/>
    <n v="4441"/>
    <n v="511"/>
    <n v="70"/>
    <n v="53292"/>
    <n v="9.4235532537716722"/>
  </r>
  <r>
    <s v="P018"/>
    <x v="2"/>
    <n v="3000"/>
    <n v="382"/>
    <n v="325"/>
    <n v="36000"/>
    <n v="10.297222222222222"/>
  </r>
  <r>
    <s v="P019"/>
    <x v="2"/>
    <n v="1071"/>
    <n v="519"/>
    <n v="22"/>
    <n v="16065"/>
    <n v="10.034235916588857"/>
  </r>
  <r>
    <s v="P020"/>
    <x v="2"/>
    <n v="4054"/>
    <n v="488"/>
    <n v="373"/>
    <n v="77026"/>
    <n v="6.3809622724794224"/>
  </r>
  <r>
    <s v="P021"/>
    <x v="2"/>
    <n v="4838"/>
    <n v="640"/>
    <n v="128"/>
    <n v="72570"/>
    <n v="7.7249552156538517"/>
  </r>
  <r>
    <s v="P022"/>
    <x v="3"/>
    <n v="1570"/>
    <n v="187"/>
    <n v="260"/>
    <n v="25120"/>
    <n v="8.0294585987261158"/>
  </r>
  <r>
    <s v="P023"/>
    <x v="3"/>
    <n v="1606"/>
    <n v="547"/>
    <n v="316"/>
    <n v="32120"/>
    <n v="7.6867995018679958"/>
  </r>
  <r>
    <s v="P024"/>
    <x v="3"/>
    <n v="3961"/>
    <n v="761"/>
    <n v="131"/>
    <n v="67337"/>
    <n v="7.2070332803659207"/>
  </r>
  <r>
    <s v="P025"/>
    <x v="0"/>
    <n v="3128"/>
    <n v="211"/>
    <n v="197"/>
    <n v="59432"/>
    <n v="5.9496567505720828"/>
  </r>
  <r>
    <s v="P026"/>
    <x v="1"/>
    <n v="3009"/>
    <n v="413"/>
    <n v="358"/>
    <n v="42126"/>
    <n v="8.9730807577268195"/>
  </r>
  <r>
    <s v="P027"/>
    <x v="1"/>
    <n v="2076"/>
    <n v="195"/>
    <n v="104"/>
    <n v="33216"/>
    <n v="7.1501685934489396"/>
  </r>
  <r>
    <s v="P028"/>
    <x v="2"/>
    <n v="432"/>
    <n v="624"/>
    <n v="123"/>
    <n v="6912"/>
    <n v="17.057291666666664"/>
  </r>
  <r>
    <s v="P029"/>
    <x v="2"/>
    <n v="2566"/>
    <n v="118"/>
    <n v="37"/>
    <n v="12830"/>
    <n v="21.208106001558846"/>
  </r>
  <r>
    <s v="P030"/>
    <x v="2"/>
    <n v="3095"/>
    <n v="39"/>
    <n v="78"/>
    <n v="55710"/>
    <n v="5.7655717106444087"/>
  </r>
  <r>
    <s v="P031"/>
    <x v="2"/>
    <n v="438"/>
    <n v="153"/>
    <n v="275"/>
    <n v="3066"/>
    <n v="28.245270711024133"/>
  </r>
  <r>
    <s v="P032"/>
    <x v="0"/>
    <n v="2278"/>
    <n v="10"/>
    <n v="321"/>
    <n v="13668"/>
    <n v="19.088381621305238"/>
  </r>
  <r>
    <s v="P033"/>
    <x v="3"/>
    <n v="1407"/>
    <n v="400"/>
    <n v="351"/>
    <n v="16884"/>
    <n v="12.781331438047856"/>
  </r>
  <r>
    <s v="P034"/>
    <x v="3"/>
    <n v="1652"/>
    <n v="89"/>
    <n v="357"/>
    <n v="29736"/>
    <n v="7.0554210384718861"/>
  </r>
  <r>
    <s v="P035"/>
    <x v="2"/>
    <n v="3775"/>
    <n v="16"/>
    <n v="239"/>
    <n v="33975"/>
    <n v="11.861662987490803"/>
  </r>
  <r>
    <s v="P036"/>
    <x v="2"/>
    <n v="4518"/>
    <n v="285"/>
    <n v="383"/>
    <n v="67770"/>
    <n v="7.6523535487678913"/>
  </r>
  <r>
    <s v="P037"/>
    <x v="3"/>
    <n v="3024"/>
    <n v="925"/>
    <n v="350"/>
    <n v="24192"/>
    <n v="17.770337301587304"/>
  </r>
  <r>
    <s v="P038"/>
    <x v="1"/>
    <n v="3138"/>
    <n v="123"/>
    <n v="291"/>
    <n v="28242"/>
    <n v="12.577012959422138"/>
  </r>
  <r>
    <s v="P039"/>
    <x v="3"/>
    <n v="3564"/>
    <n v="629"/>
    <n v="177"/>
    <n v="60588"/>
    <n v="7.2126493695121141"/>
  </r>
  <r>
    <s v="P040"/>
    <x v="0"/>
    <n v="4750"/>
    <n v="151"/>
    <n v="415"/>
    <n v="38000"/>
    <n v="13.989473684210527"/>
  </r>
  <r>
    <s v="P041"/>
    <x v="2"/>
    <n v="456"/>
    <n v="629"/>
    <n v="428"/>
    <n v="8208"/>
    <n v="18.433235867446392"/>
  </r>
  <r>
    <s v="P042"/>
    <x v="1"/>
    <n v="1543"/>
    <n v="820"/>
    <n v="333"/>
    <n v="12344"/>
    <n v="21.840570317563188"/>
  </r>
  <r>
    <s v="P043"/>
    <x v="2"/>
    <n v="2174"/>
    <n v="658"/>
    <n v="15"/>
    <n v="13044"/>
    <n v="21.826126954921804"/>
  </r>
  <r>
    <s v="P044"/>
    <x v="0"/>
    <n v="2358"/>
    <n v="784"/>
    <n v="344"/>
    <n v="35370"/>
    <n v="9.8558100084817646"/>
  </r>
  <r>
    <s v="P045"/>
    <x v="3"/>
    <n v="3371"/>
    <n v="106"/>
    <n v="327"/>
    <n v="50565"/>
    <n v="7.5229902106199935"/>
  </r>
  <r>
    <s v="P046"/>
    <x v="0"/>
    <n v="1108"/>
    <n v="177"/>
    <n v="212"/>
    <n v="8864"/>
    <n v="16.888537906137184"/>
  </r>
  <r>
    <s v="P047"/>
    <x v="0"/>
    <n v="2704"/>
    <n v="752"/>
    <n v="153"/>
    <n v="21632"/>
    <n v="16.683616863905325"/>
  </r>
  <r>
    <s v="P048"/>
    <x v="0"/>
    <n v="1950"/>
    <n v="295"/>
    <n v="478"/>
    <n v="37050"/>
    <n v="7.3495276653171393"/>
  </r>
  <r>
    <s v="P049"/>
    <x v="0"/>
    <n v="2164"/>
    <n v="549"/>
    <n v="274"/>
    <n v="28132"/>
    <n v="10.617801791554102"/>
  </r>
  <r>
    <s v="P050"/>
    <x v="1"/>
    <n v="2754"/>
    <n v="130"/>
    <n v="90"/>
    <n v="22032"/>
    <n v="13.498547567175018"/>
  </r>
  <r>
    <s v="P051"/>
    <x v="3"/>
    <n v="2200"/>
    <n v="504"/>
    <n v="239"/>
    <n v="37400"/>
    <n v="7.8689839572192515"/>
  </r>
  <r>
    <s v="P052"/>
    <x v="3"/>
    <n v="947"/>
    <n v="338"/>
    <n v="350"/>
    <n v="10417"/>
    <n v="15.69549774407219"/>
  </r>
  <r>
    <s v="P053"/>
    <x v="1"/>
    <n v="804"/>
    <n v="639"/>
    <n v="43"/>
    <n v="4020"/>
    <n v="36.965174129353237"/>
  </r>
  <r>
    <s v="P054"/>
    <x v="1"/>
    <n v="1686"/>
    <n v="904"/>
    <n v="472"/>
    <n v="18546"/>
    <n v="16.510298716704412"/>
  </r>
  <r>
    <s v="P055"/>
    <x v="3"/>
    <n v="1226"/>
    <n v="119"/>
    <n v="7"/>
    <n v="14712"/>
    <n v="9.1897770527460576"/>
  </r>
  <r>
    <s v="P056"/>
    <x v="3"/>
    <n v="2946"/>
    <n v="498"/>
    <n v="367"/>
    <n v="29460"/>
    <n v="12.936184657162253"/>
  </r>
  <r>
    <s v="P057"/>
    <x v="0"/>
    <n v="2825"/>
    <n v="535"/>
    <n v="295"/>
    <n v="45200"/>
    <n v="8.086283185840708"/>
  </r>
  <r>
    <s v="P058"/>
    <x v="2"/>
    <n v="103"/>
    <n v="770"/>
    <n v="19"/>
    <n v="1030"/>
    <n v="86.601941747572823"/>
  </r>
  <r>
    <s v="P059"/>
    <x v="2"/>
    <n v="2180"/>
    <n v="263"/>
    <n v="387"/>
    <n v="30520"/>
    <n v="9.2726081258191346"/>
  </r>
  <r>
    <s v="P060"/>
    <x v="2"/>
    <n v="904"/>
    <n v="973"/>
    <n v="63"/>
    <n v="11752"/>
    <n v="16.507828454731111"/>
  </r>
  <r>
    <s v="P061"/>
    <x v="0"/>
    <n v="4886"/>
    <n v="983"/>
    <n v="409"/>
    <n v="43974"/>
    <n v="14.276618001546368"/>
  </r>
  <r>
    <s v="P062"/>
    <x v="0"/>
    <n v="53"/>
    <n v="81"/>
    <n v="379"/>
    <n v="954"/>
    <n v="53.773584905660378"/>
  </r>
  <r>
    <s v="P063"/>
    <x v="0"/>
    <n v="4507"/>
    <n v="217"/>
    <n v="13"/>
    <n v="90140"/>
    <n v="5.2551586421122698"/>
  </r>
  <r>
    <s v="P064"/>
    <x v="3"/>
    <n v="2878"/>
    <n v="248"/>
    <n v="416"/>
    <n v="43170"/>
    <n v="8.2047718322909429"/>
  </r>
  <r>
    <s v="P065"/>
    <x v="2"/>
    <n v="1881"/>
    <n v="501"/>
    <n v="99"/>
    <n v="20691"/>
    <n v="11.990720603160794"/>
  </r>
  <r>
    <s v="P066"/>
    <x v="0"/>
    <n v="432"/>
    <n v="171"/>
    <n v="280"/>
    <n v="3024"/>
    <n v="29.199735449735449"/>
  </r>
  <r>
    <s v="P067"/>
    <x v="3"/>
    <n v="4712"/>
    <n v="568"/>
    <n v="127"/>
    <n v="84816"/>
    <n v="6.3749764195434819"/>
  </r>
  <r>
    <s v="P068"/>
    <x v="2"/>
    <n v="2610"/>
    <n v="126"/>
    <n v="288"/>
    <n v="15660"/>
    <n v="19.310344827586206"/>
  </r>
  <r>
    <s v="P069"/>
    <x v="0"/>
    <n v="1292"/>
    <n v="626"/>
    <n v="496"/>
    <n v="25840"/>
    <n v="9.3421052631578938"/>
  </r>
  <r>
    <s v="P070"/>
    <x v="3"/>
    <n v="199"/>
    <n v="772"/>
    <n v="400"/>
    <n v="3582"/>
    <n v="38.274706867671696"/>
  </r>
  <r>
    <s v="P071"/>
    <x v="1"/>
    <n v="2551"/>
    <n v="915"/>
    <n v="205"/>
    <n v="30612"/>
    <n v="11.992029269567491"/>
  </r>
  <r>
    <s v="P072"/>
    <x v="1"/>
    <n v="296"/>
    <n v="60"/>
    <n v="141"/>
    <n v="5624"/>
    <n v="8.8371266002844955"/>
  </r>
  <r>
    <s v="P073"/>
    <x v="3"/>
    <n v="4126"/>
    <n v="426"/>
    <n v="486"/>
    <n v="78394"/>
    <n v="6.4265122330790625"/>
  </r>
  <r>
    <s v="P074"/>
    <x v="1"/>
    <n v="1855"/>
    <n v="200"/>
    <n v="174"/>
    <n v="16695"/>
    <n v="13.351302785265048"/>
  </r>
  <r>
    <s v="P075"/>
    <x v="2"/>
    <n v="1674"/>
    <n v="929"/>
    <n v="37"/>
    <n v="21762"/>
    <n v="12.131237937689551"/>
  </r>
  <r>
    <s v="P076"/>
    <x v="0"/>
    <n v="1121"/>
    <n v="135"/>
    <n v="18"/>
    <n v="15694"/>
    <n v="8.1177520071364846"/>
  </r>
  <r>
    <s v="P077"/>
    <x v="3"/>
    <n v="1249"/>
    <n v="116"/>
    <n v="420"/>
    <n v="8743"/>
    <n v="20.416333066453163"/>
  </r>
  <r>
    <s v="P078"/>
    <x v="0"/>
    <n v="954"/>
    <n v="324"/>
    <n v="288"/>
    <n v="19080"/>
    <n v="8.2075471698113205"/>
  </r>
  <r>
    <s v="P079"/>
    <x v="2"/>
    <n v="3068"/>
    <n v="137"/>
    <n v="329"/>
    <n v="39884"/>
    <n v="8.8606960184535151"/>
  </r>
  <r>
    <s v="P080"/>
    <x v="2"/>
    <n v="2103"/>
    <n v="892"/>
    <n v="103"/>
    <n v="39957"/>
    <n v="7.7533348349475686"/>
  </r>
  <r>
    <s v="P081"/>
    <x v="2"/>
    <n v="1816"/>
    <n v="29"/>
    <n v="41"/>
    <n v="19976"/>
    <n v="9.4413295955146186"/>
  </r>
  <r>
    <s v="P082"/>
    <x v="2"/>
    <n v="725"/>
    <n v="88"/>
    <n v="428"/>
    <n v="14500"/>
    <n v="8.5586206896551715"/>
  </r>
  <r>
    <s v="P083"/>
    <x v="1"/>
    <n v="1094"/>
    <n v="472"/>
    <n v="21"/>
    <n v="9846"/>
    <n v="16.118220597196832"/>
  </r>
  <r>
    <s v="P084"/>
    <x v="3"/>
    <n v="1841"/>
    <n v="851"/>
    <n v="342"/>
    <n v="34979"/>
    <n v="8.673775693987821"/>
  </r>
  <r>
    <s v="P085"/>
    <x v="2"/>
    <n v="4177"/>
    <n v="569"/>
    <n v="55"/>
    <n v="25062"/>
    <n v="19.156491900087783"/>
  </r>
  <r>
    <s v="P086"/>
    <x v="1"/>
    <n v="3428"/>
    <n v="305"/>
    <n v="85"/>
    <n v="58276"/>
    <n v="6.5515821264328364"/>
  </r>
  <r>
    <s v="P087"/>
    <x v="0"/>
    <n v="1436"/>
    <n v="765"/>
    <n v="496"/>
    <n v="12924"/>
    <n v="20.868152274837513"/>
  </r>
  <r>
    <s v="P088"/>
    <x v="3"/>
    <n v="302"/>
    <n v="47"/>
    <n v="430"/>
    <n v="5738"/>
    <n v="13.576158940397351"/>
  </r>
  <r>
    <s v="P089"/>
    <x v="0"/>
    <n v="2214"/>
    <n v="249"/>
    <n v="152"/>
    <n v="15498"/>
    <n v="16.873144921925409"/>
  </r>
  <r>
    <s v="P090"/>
    <x v="2"/>
    <n v="3861"/>
    <n v="960"/>
    <n v="101"/>
    <n v="69498"/>
    <n v="7.0822181933293038"/>
  </r>
  <r>
    <s v="P091"/>
    <x v="3"/>
    <n v="1263"/>
    <n v="397"/>
    <n v="357"/>
    <n v="25260"/>
    <n v="7.9849564528899446"/>
  </r>
  <r>
    <s v="P092"/>
    <x v="0"/>
    <n v="3801"/>
    <n v="967"/>
    <n v="401"/>
    <n v="38010"/>
    <n v="13.599052880820835"/>
  </r>
  <r>
    <s v="P093"/>
    <x v="2"/>
    <n v="1431"/>
    <n v="951"/>
    <n v="26"/>
    <n v="8586"/>
    <n v="28.045655718611695"/>
  </r>
  <r>
    <s v="P094"/>
    <x v="2"/>
    <n v="2647"/>
    <n v="304"/>
    <n v="170"/>
    <n v="18529"/>
    <n v="16.843866371633656"/>
  </r>
  <r>
    <s v="P095"/>
    <x v="2"/>
    <n v="3182"/>
    <n v="559"/>
    <n v="160"/>
    <n v="57276"/>
    <n v="6.8108806480899506"/>
  </r>
  <r>
    <s v="P096"/>
    <x v="0"/>
    <n v="1238"/>
    <n v="366"/>
    <n v="444"/>
    <n v="19808"/>
    <n v="10.339256865912763"/>
  </r>
  <r>
    <s v="P097"/>
    <x v="2"/>
    <n v="4739"/>
    <n v="527"/>
    <n v="135"/>
    <n v="61607"/>
    <n v="8.7668609086629772"/>
  </r>
  <r>
    <s v="P098"/>
    <x v="0"/>
    <n v="1575"/>
    <n v="771"/>
    <n v="486"/>
    <n v="25200"/>
    <n v="11.238095238095239"/>
  </r>
  <r>
    <s v="P099"/>
    <x v="1"/>
    <n v="4171"/>
    <n v="548"/>
    <n v="86"/>
    <n v="66736"/>
    <n v="7.2000119875329656"/>
  </r>
  <r>
    <s v="P100"/>
    <x v="1"/>
    <n v="1766"/>
    <n v="92"/>
    <n v="424"/>
    <n v="24724"/>
    <n v="9.2298980747451864"/>
  </r>
  <r>
    <s v="P101"/>
    <x v="1"/>
    <n v="4450"/>
    <n v="983"/>
    <n v="143"/>
    <n v="75650"/>
    <n v="7.3707865168539328"/>
  </r>
  <r>
    <s v="P102"/>
    <x v="0"/>
    <n v="1000"/>
    <n v="978"/>
    <n v="162"/>
    <n v="6000"/>
    <n v="35.666666666666671"/>
  </r>
  <r>
    <s v="P103"/>
    <x v="3"/>
    <n v="3689"/>
    <n v="48"/>
    <n v="306"/>
    <n v="40579"/>
    <n v="9.963281500283399"/>
  </r>
  <r>
    <s v="P104"/>
    <x v="1"/>
    <n v="3655"/>
    <n v="568"/>
    <n v="286"/>
    <n v="32895"/>
    <n v="13.707250341997264"/>
  </r>
  <r>
    <s v="P105"/>
    <x v="2"/>
    <n v="498"/>
    <n v="38"/>
    <n v="42"/>
    <n v="4482"/>
    <n v="12.896028558679163"/>
  </r>
  <r>
    <s v="P106"/>
    <x v="2"/>
    <n v="4619"/>
    <n v="821"/>
    <n v="499"/>
    <n v="69285"/>
    <n v="8.5718409468138841"/>
  </r>
  <r>
    <s v="P107"/>
    <x v="1"/>
    <n v="4832"/>
    <n v="893"/>
    <n v="10"/>
    <n v="91808"/>
    <n v="6.2467323109097244"/>
  </r>
  <r>
    <s v="P108"/>
    <x v="0"/>
    <n v="4050"/>
    <n v="871"/>
    <n v="347"/>
    <n v="52650"/>
    <n v="10.005698005698006"/>
  </r>
  <r>
    <s v="P109"/>
    <x v="0"/>
    <n v="3649"/>
    <n v="215"/>
    <n v="413"/>
    <n v="25543"/>
    <n v="16.744313510550835"/>
  </r>
  <r>
    <s v="P110"/>
    <x v="2"/>
    <n v="3523"/>
    <n v="753"/>
    <n v="482"/>
    <n v="38753"/>
    <n v="12.277759141227776"/>
  </r>
  <r>
    <s v="P111"/>
    <x v="1"/>
    <n v="2719"/>
    <n v="17"/>
    <n v="285"/>
    <n v="40785"/>
    <n v="7.4071349760941523"/>
  </r>
  <r>
    <s v="P112"/>
    <x v="0"/>
    <n v="1957"/>
    <n v="877"/>
    <n v="238"/>
    <n v="17613"/>
    <n v="17.441662408448305"/>
  </r>
  <r>
    <s v="P113"/>
    <x v="0"/>
    <n v="4419"/>
    <n v="236"/>
    <n v="369"/>
    <n v="44190"/>
    <n v="11.369088028965828"/>
  </r>
  <r>
    <s v="P114"/>
    <x v="0"/>
    <n v="4000"/>
    <n v="689"/>
    <n v="488"/>
    <n v="40000"/>
    <n v="12.942500000000001"/>
  </r>
  <r>
    <s v="P115"/>
    <x v="0"/>
    <n v="2493"/>
    <n v="97"/>
    <n v="44"/>
    <n v="42381"/>
    <n v="6.2150491965739363"/>
  </r>
  <r>
    <s v="P116"/>
    <x v="1"/>
    <n v="3704"/>
    <n v="186"/>
    <n v="458"/>
    <n v="25928"/>
    <n v="16.769515581610612"/>
  </r>
  <r>
    <s v="P117"/>
    <x v="0"/>
    <n v="1606"/>
    <n v="451"/>
    <n v="405"/>
    <n v="20878"/>
    <n v="11.792317271769326"/>
  </r>
  <r>
    <s v="P118"/>
    <x v="3"/>
    <n v="4551"/>
    <n v="714"/>
    <n v="207"/>
    <n v="68265"/>
    <n v="8.0158206987475271"/>
  </r>
  <r>
    <s v="P119"/>
    <x v="2"/>
    <n v="1970"/>
    <n v="675"/>
    <n v="478"/>
    <n v="9850"/>
    <n v="31.705583756345177"/>
  </r>
  <r>
    <s v="P120"/>
    <x v="3"/>
    <n v="780"/>
    <n v="928"/>
    <n v="301"/>
    <n v="8580"/>
    <n v="23.414918414918414"/>
  </r>
  <r>
    <s v="P121"/>
    <x v="2"/>
    <n v="498"/>
    <n v="701"/>
    <n v="412"/>
    <n v="4980"/>
    <n v="32.349397590361448"/>
  </r>
  <r>
    <s v="P122"/>
    <x v="2"/>
    <n v="3432"/>
    <n v="869"/>
    <n v="123"/>
    <n v="54912"/>
    <n v="8.0565268065268061"/>
  </r>
  <r>
    <s v="P123"/>
    <x v="2"/>
    <n v="4363"/>
    <n v="649"/>
    <n v="140"/>
    <n v="21815"/>
    <n v="23.61677744671098"/>
  </r>
  <r>
    <s v="P124"/>
    <x v="1"/>
    <n v="736"/>
    <n v="771"/>
    <n v="225"/>
    <n v="5152"/>
    <n v="33.618012422360252"/>
  </r>
  <r>
    <s v="P125"/>
    <x v="0"/>
    <n v="3811"/>
    <n v="866"/>
    <n v="216"/>
    <n v="34299"/>
    <n v="14.265722032712326"/>
  </r>
  <r>
    <s v="P126"/>
    <x v="2"/>
    <n v="4158"/>
    <n v="167"/>
    <n v="241"/>
    <n v="45738"/>
    <n v="9.9829463465827111"/>
  </r>
  <r>
    <s v="P127"/>
    <x v="3"/>
    <n v="3452"/>
    <n v="652"/>
    <n v="442"/>
    <n v="65588"/>
    <n v="6.9311459413307315"/>
  </r>
  <r>
    <s v="P128"/>
    <x v="0"/>
    <n v="3092"/>
    <n v="106"/>
    <n v="291"/>
    <n v="27828"/>
    <n v="12.537731780940058"/>
  </r>
  <r>
    <s v="P129"/>
    <x v="0"/>
    <n v="2147"/>
    <n v="430"/>
    <n v="393"/>
    <n v="17176"/>
    <n v="17.291569632044716"/>
  </r>
  <r>
    <s v="P130"/>
    <x v="1"/>
    <n v="2936"/>
    <n v="439"/>
    <n v="44"/>
    <n v="38168"/>
    <n v="8.9577656675749324"/>
  </r>
  <r>
    <s v="P131"/>
    <x v="2"/>
    <n v="4840"/>
    <n v="658"/>
    <n v="211"/>
    <n v="43560"/>
    <n v="13.106060606060607"/>
  </r>
  <r>
    <s v="P132"/>
    <x v="2"/>
    <n v="1947"/>
    <n v="842"/>
    <n v="101"/>
    <n v="21417"/>
    <n v="13.493953401503479"/>
  </r>
  <r>
    <s v="P133"/>
    <x v="3"/>
    <n v="2072"/>
    <n v="532"/>
    <n v="71"/>
    <n v="37296"/>
    <n v="7.1723509223509225"/>
  </r>
  <r>
    <s v="P134"/>
    <x v="0"/>
    <n v="3731"/>
    <n v="115"/>
    <n v="135"/>
    <n v="55965"/>
    <n v="7.1133744304476014"/>
  </r>
  <r>
    <s v="P135"/>
    <x v="3"/>
    <n v="4213"/>
    <n v="253"/>
    <n v="434"/>
    <n v="75834"/>
    <n v="6.4614816573041116"/>
  </r>
  <r>
    <s v="P136"/>
    <x v="2"/>
    <n v="3134"/>
    <n v="888"/>
    <n v="444"/>
    <n v="21938"/>
    <n v="20.357370772176132"/>
  </r>
  <r>
    <s v="P137"/>
    <x v="3"/>
    <n v="3008"/>
    <n v="94"/>
    <n v="37"/>
    <n v="15040"/>
    <n v="20.871010638297872"/>
  </r>
  <r>
    <s v="P138"/>
    <x v="0"/>
    <n v="305"/>
    <n v="187"/>
    <n v="243"/>
    <n v="4575"/>
    <n v="16.065573770491802"/>
  </r>
  <r>
    <s v="P139"/>
    <x v="1"/>
    <n v="2746"/>
    <n v="156"/>
    <n v="203"/>
    <n v="32952"/>
    <n v="9.4227967953386749"/>
  </r>
  <r>
    <s v="P140"/>
    <x v="3"/>
    <n v="2291"/>
    <n v="78"/>
    <n v="485"/>
    <n v="18328"/>
    <n v="15.571802706241817"/>
  </r>
  <r>
    <s v="P141"/>
    <x v="0"/>
    <n v="3170"/>
    <n v="857"/>
    <n v="379"/>
    <n v="19020"/>
    <n v="23.16508937960042"/>
  </r>
  <r>
    <s v="P142"/>
    <x v="1"/>
    <n v="2070"/>
    <n v="275"/>
    <n v="386"/>
    <n v="39330"/>
    <n v="6.9438087973557074"/>
  </r>
  <r>
    <s v="P143"/>
    <x v="1"/>
    <n v="80"/>
    <n v="362"/>
    <n v="80"/>
    <n v="1040"/>
    <n v="50.192307692307693"/>
  </r>
  <r>
    <s v="P144"/>
    <x v="1"/>
    <n v="4929"/>
    <n v="749"/>
    <n v="452"/>
    <n v="93651"/>
    <n v="6.5455787978772246"/>
  </r>
  <r>
    <s v="P145"/>
    <x v="2"/>
    <n v="1878"/>
    <n v="62"/>
    <n v="179"/>
    <n v="37560"/>
    <n v="5.6416400425985094"/>
  </r>
  <r>
    <s v="P146"/>
    <x v="1"/>
    <n v="3065"/>
    <n v="772"/>
    <n v="142"/>
    <n v="18390"/>
    <n v="21.636759108210985"/>
  </r>
  <r>
    <s v="P147"/>
    <x v="2"/>
    <n v="3256"/>
    <n v="459"/>
    <n v="266"/>
    <n v="26048"/>
    <n v="15.283323095823095"/>
  </r>
  <r>
    <s v="P148"/>
    <x v="2"/>
    <n v="4133"/>
    <n v="466"/>
    <n v="327"/>
    <n v="24798"/>
    <n v="19.864505202032422"/>
  </r>
  <r>
    <s v="P149"/>
    <x v="0"/>
    <n v="1702"/>
    <n v="750"/>
    <n v="179"/>
    <n v="34040"/>
    <n v="7.7291421856639246"/>
  </r>
  <r>
    <s v="P150"/>
    <x v="1"/>
    <n v="4295"/>
    <n v="853"/>
    <n v="325"/>
    <n v="85900"/>
    <n v="6.3713620488940625"/>
  </r>
  <r>
    <s v="P151"/>
    <x v="2"/>
    <n v="3559"/>
    <n v="59"/>
    <n v="289"/>
    <n v="35590"/>
    <n v="10.977802753582468"/>
  </r>
  <r>
    <s v="P152"/>
    <x v="3"/>
    <n v="4804"/>
    <n v="550"/>
    <n v="270"/>
    <n v="28824"/>
    <n v="19.511518179295031"/>
  </r>
  <r>
    <s v="P153"/>
    <x v="0"/>
    <n v="754"/>
    <n v="197"/>
    <n v="257"/>
    <n v="6786"/>
    <n v="17.801355732390213"/>
  </r>
  <r>
    <s v="P154"/>
    <x v="2"/>
    <n v="985"/>
    <n v="932"/>
    <n v="287"/>
    <n v="6895"/>
    <n v="31.965192168237856"/>
  </r>
  <r>
    <s v="P155"/>
    <x v="1"/>
    <n v="2283"/>
    <n v="210"/>
    <n v="130"/>
    <n v="22830"/>
    <n v="11.489268506351292"/>
  </r>
  <r>
    <s v="P156"/>
    <x v="3"/>
    <n v="3352"/>
    <n v="941"/>
    <n v="482"/>
    <n v="43576"/>
    <n v="10.957866715623279"/>
  </r>
  <r>
    <s v="P157"/>
    <x v="1"/>
    <n v="4775"/>
    <n v="173"/>
    <n v="206"/>
    <n v="47750"/>
    <n v="10.793717277486911"/>
  </r>
  <r>
    <s v="P158"/>
    <x v="2"/>
    <n v="1762"/>
    <n v="405"/>
    <n v="423"/>
    <n v="22906"/>
    <n v="11.307081114118571"/>
  </r>
  <r>
    <s v="P159"/>
    <x v="3"/>
    <n v="2120"/>
    <n v="158"/>
    <n v="488"/>
    <n v="12720"/>
    <n v="21.745283018867926"/>
  </r>
  <r>
    <s v="P160"/>
    <x v="0"/>
    <n v="1082"/>
    <n v="209"/>
    <n v="484"/>
    <n v="19476"/>
    <n v="9.1137810638734855"/>
  </r>
  <r>
    <s v="P161"/>
    <x v="0"/>
    <n v="4671"/>
    <n v="876"/>
    <n v="366"/>
    <n v="51381"/>
    <n v="11.508145034156595"/>
  </r>
  <r>
    <s v="P162"/>
    <x v="3"/>
    <n v="3430"/>
    <n v="566"/>
    <n v="164"/>
    <n v="48020"/>
    <n v="8.6630570595585166"/>
  </r>
  <r>
    <s v="P163"/>
    <x v="2"/>
    <n v="4501"/>
    <n v="375"/>
    <n v="323"/>
    <n v="22505"/>
    <n v="23.101532992668297"/>
  </r>
  <r>
    <s v="P164"/>
    <x v="1"/>
    <n v="4934"/>
    <n v="971"/>
    <n v="156"/>
    <n v="39472"/>
    <n v="15.355188488042156"/>
  </r>
  <r>
    <s v="P165"/>
    <x v="0"/>
    <n v="3239"/>
    <n v="43"/>
    <n v="211"/>
    <n v="22673"/>
    <n v="15.405989502933004"/>
  </r>
  <r>
    <s v="P166"/>
    <x v="0"/>
    <n v="1076"/>
    <n v="313"/>
    <n v="306"/>
    <n v="11836"/>
    <n v="14.320716458262927"/>
  </r>
  <r>
    <s v="P167"/>
    <x v="2"/>
    <n v="4771"/>
    <n v="818"/>
    <n v="56"/>
    <n v="57252"/>
    <n v="9.8599175574652413"/>
  </r>
  <r>
    <s v="P168"/>
    <x v="3"/>
    <n v="2418"/>
    <n v="754"/>
    <n v="54"/>
    <n v="43524"/>
    <n v="7.412002573292896"/>
  </r>
  <r>
    <s v="P169"/>
    <x v="1"/>
    <n v="3809"/>
    <n v="273"/>
    <n v="200"/>
    <n v="34281"/>
    <n v="12.490884163239112"/>
  </r>
  <r>
    <s v="P170"/>
    <x v="0"/>
    <n v="3577"/>
    <n v="596"/>
    <n v="493"/>
    <n v="67963"/>
    <n v="6.8655003457763781"/>
  </r>
  <r>
    <s v="P171"/>
    <x v="1"/>
    <n v="1018"/>
    <n v="447"/>
    <n v="332"/>
    <n v="18324"/>
    <n v="9.8068107400130966"/>
  </r>
  <r>
    <s v="P172"/>
    <x v="3"/>
    <n v="3073"/>
    <n v="553"/>
    <n v="174"/>
    <n v="52241"/>
    <n v="7.2739802071170159"/>
  </r>
  <r>
    <s v="P173"/>
    <x v="0"/>
    <n v="1330"/>
    <n v="925"/>
    <n v="35"/>
    <n v="15960"/>
    <n v="14.348370927318296"/>
  </r>
  <r>
    <s v="P174"/>
    <x v="3"/>
    <n v="3828"/>
    <n v="148"/>
    <n v="253"/>
    <n v="30624"/>
    <n v="13.809430512016718"/>
  </r>
  <r>
    <s v="P175"/>
    <x v="2"/>
    <n v="142"/>
    <n v="784"/>
    <n v="183"/>
    <n v="1704"/>
    <n v="65.082159624413151"/>
  </r>
  <r>
    <s v="P176"/>
    <x v="3"/>
    <n v="3798"/>
    <n v="31"/>
    <n v="279"/>
    <n v="75960"/>
    <n v="5.40810953133228"/>
  </r>
  <r>
    <s v="P177"/>
    <x v="2"/>
    <n v="3099"/>
    <n v="694"/>
    <n v="171"/>
    <n v="43386"/>
    <n v="9.1365878393951974"/>
  </r>
  <r>
    <s v="P178"/>
    <x v="2"/>
    <n v="129"/>
    <n v="643"/>
    <n v="136"/>
    <n v="1290"/>
    <n v="70.387596899224803"/>
  </r>
  <r>
    <s v="P179"/>
    <x v="3"/>
    <n v="3796"/>
    <n v="667"/>
    <n v="395"/>
    <n v="64532"/>
    <n v="7.5280481001673589"/>
  </r>
  <r>
    <s v="P180"/>
    <x v="1"/>
    <n v="3711"/>
    <n v="352"/>
    <n v="290"/>
    <n v="48243"/>
    <n v="9.0230707045581742"/>
  </r>
  <r>
    <s v="P181"/>
    <x v="1"/>
    <n v="606"/>
    <n v="789"/>
    <n v="470"/>
    <n v="7878"/>
    <n v="23.673521198273672"/>
  </r>
  <r>
    <s v="P182"/>
    <x v="3"/>
    <n v="4689"/>
    <n v="134"/>
    <n v="403"/>
    <n v="51579"/>
    <n v="10.132030477519921"/>
  </r>
  <r>
    <s v="P183"/>
    <x v="2"/>
    <n v="360"/>
    <n v="590"/>
    <n v="393"/>
    <n v="4680"/>
    <n v="28.696581196581196"/>
  </r>
  <r>
    <s v="P184"/>
    <x v="0"/>
    <n v="3215"/>
    <n v="960"/>
    <n v="202"/>
    <n v="32150"/>
    <n v="13.614307931570762"/>
  </r>
  <r>
    <s v="P185"/>
    <x v="2"/>
    <n v="4523"/>
    <n v="61"/>
    <n v="157"/>
    <n v="49753"/>
    <n v="9.5290736237010822"/>
  </r>
  <r>
    <s v="P186"/>
    <x v="3"/>
    <n v="4292"/>
    <n v="51"/>
    <n v="392"/>
    <n v="55796"/>
    <n v="8.4862714173059004"/>
  </r>
  <r>
    <s v="P187"/>
    <x v="0"/>
    <n v="1644"/>
    <n v="546"/>
    <n v="150"/>
    <n v="27948"/>
    <n v="8.3726921425504504"/>
  </r>
  <r>
    <s v="P188"/>
    <x v="1"/>
    <n v="2728"/>
    <n v="533"/>
    <n v="215"/>
    <n v="40920"/>
    <n v="8.4946236559139781"/>
  </r>
  <r>
    <s v="P189"/>
    <x v="3"/>
    <n v="3360"/>
    <n v="525"/>
    <n v="500"/>
    <n v="60480"/>
    <n v="7.2503306878306875"/>
  </r>
  <r>
    <s v="P190"/>
    <x v="1"/>
    <n v="1963"/>
    <n v="213"/>
    <n v="19"/>
    <n v="39260"/>
    <n v="5.590932246561386"/>
  </r>
  <r>
    <s v="P191"/>
    <x v="1"/>
    <n v="4285"/>
    <n v="886"/>
    <n v="376"/>
    <n v="55705"/>
    <n v="9.9578134817341351"/>
  </r>
  <r>
    <s v="P192"/>
    <x v="2"/>
    <n v="1176"/>
    <n v="464"/>
    <n v="394"/>
    <n v="14112"/>
    <n v="14.413265306122449"/>
  </r>
  <r>
    <s v="P193"/>
    <x v="0"/>
    <n v="4858"/>
    <n v="317"/>
    <n v="129"/>
    <n v="53438"/>
    <n v="9.9255211647142492"/>
  </r>
  <r>
    <s v="P194"/>
    <x v="1"/>
    <n v="4350"/>
    <n v="771"/>
    <n v="7"/>
    <n v="60900"/>
    <n v="8.4203612479474561"/>
  </r>
  <r>
    <s v="P195"/>
    <x v="2"/>
    <n v="914"/>
    <n v="464"/>
    <n v="246"/>
    <n v="11882"/>
    <n v="13.667732704931829"/>
  </r>
  <r>
    <s v="P196"/>
    <x v="2"/>
    <n v="1813"/>
    <n v="623"/>
    <n v="72"/>
    <n v="19943"/>
    <n v="12.575841147269717"/>
  </r>
  <r>
    <s v="P197"/>
    <x v="0"/>
    <n v="4782"/>
    <n v="721"/>
    <n v="82"/>
    <n v="86076"/>
    <n v="6.488452065616432"/>
  </r>
  <r>
    <s v="P198"/>
    <x v="0"/>
    <n v="1048"/>
    <n v="374"/>
    <n v="450"/>
    <n v="9432"/>
    <n v="19.847328244274809"/>
  </r>
  <r>
    <s v="P199"/>
    <x v="1"/>
    <n v="2509"/>
    <n v="324"/>
    <n v="171"/>
    <n v="35126"/>
    <n v="8.5520696919660644"/>
  </r>
  <r>
    <s v="P200"/>
    <x v="3"/>
    <n v="3718"/>
    <n v="385"/>
    <n v="310"/>
    <n v="70642"/>
    <n v="6.246991874522239"/>
  </r>
  <r>
    <s v="P201"/>
    <x v="0"/>
    <n v="802"/>
    <n v="262"/>
    <n v="244"/>
    <n v="14436"/>
    <n v="9.0606816292601824"/>
  </r>
  <r>
    <s v="P202"/>
    <x v="3"/>
    <n v="1871"/>
    <n v="252"/>
    <n v="335"/>
    <n v="29936"/>
    <n v="8.21084981293426"/>
  </r>
  <r>
    <s v="P203"/>
    <x v="2"/>
    <n v="3773"/>
    <n v="299"/>
    <n v="38"/>
    <n v="71687"/>
    <n v="5.7332570758993961"/>
  </r>
  <r>
    <s v="P204"/>
    <x v="2"/>
    <n v="2234"/>
    <n v="653"/>
    <n v="432"/>
    <n v="11170"/>
    <n v="29.713518352730528"/>
  </r>
  <r>
    <s v="P205"/>
    <x v="0"/>
    <n v="3820"/>
    <n v="697"/>
    <n v="268"/>
    <n v="45840"/>
    <n v="10.438481675392671"/>
  </r>
  <r>
    <s v="P206"/>
    <x v="0"/>
    <n v="941"/>
    <n v="121"/>
    <n v="458"/>
    <n v="14115"/>
    <n v="10.768685795253278"/>
  </r>
  <r>
    <s v="P207"/>
    <x v="0"/>
    <n v="4274"/>
    <n v="340"/>
    <n v="281"/>
    <n v="34192"/>
    <n v="14.316214319138981"/>
  </r>
  <r>
    <s v="P208"/>
    <x v="1"/>
    <n v="2949"/>
    <n v="476"/>
    <n v="403"/>
    <n v="44235"/>
    <n v="8.6537809426924373"/>
  </r>
  <r>
    <s v="P209"/>
    <x v="0"/>
    <n v="3160"/>
    <n v="204"/>
    <n v="297"/>
    <n v="44240"/>
    <n v="8.2753164556962027"/>
  </r>
  <r>
    <s v="P210"/>
    <x v="1"/>
    <n v="257"/>
    <n v="966"/>
    <n v="398"/>
    <n v="3341"/>
    <n v="48.518407662376532"/>
  </r>
  <r>
    <s v="P211"/>
    <x v="0"/>
    <n v="2120"/>
    <n v="38"/>
    <n v="212"/>
    <n v="12720"/>
    <n v="18.632075471698112"/>
  </r>
  <r>
    <s v="P212"/>
    <x v="1"/>
    <n v="3874"/>
    <n v="884"/>
    <n v="19"/>
    <n v="38740"/>
    <n v="12.330924109447599"/>
  </r>
  <r>
    <s v="P213"/>
    <x v="3"/>
    <n v="2696"/>
    <n v="628"/>
    <n v="443"/>
    <n v="45832"/>
    <n v="8.2191481934019901"/>
  </r>
  <r>
    <s v="P214"/>
    <x v="2"/>
    <n v="521"/>
    <n v="746"/>
    <n v="315"/>
    <n v="4168"/>
    <n v="37.955854126679462"/>
  </r>
  <r>
    <s v="P215"/>
    <x v="3"/>
    <n v="4872"/>
    <n v="925"/>
    <n v="176"/>
    <n v="82824"/>
    <n v="7.2116777745580993"/>
  </r>
  <r>
    <s v="P216"/>
    <x v="1"/>
    <n v="1509"/>
    <n v="88"/>
    <n v="163"/>
    <n v="30180"/>
    <n v="5.8316766070245194"/>
  </r>
  <r>
    <s v="P217"/>
    <x v="3"/>
    <n v="4606"/>
    <n v="931"/>
    <n v="230"/>
    <n v="92120"/>
    <n v="6.2603126356925749"/>
  </r>
  <r>
    <s v="P218"/>
    <x v="3"/>
    <n v="1869"/>
    <n v="453"/>
    <n v="490"/>
    <n v="14952"/>
    <n v="18.806848582129483"/>
  </r>
  <r>
    <s v="P219"/>
    <x v="0"/>
    <n v="1188"/>
    <n v="470"/>
    <n v="174"/>
    <n v="7128"/>
    <n v="25.701459034792368"/>
  </r>
  <r>
    <s v="P220"/>
    <x v="2"/>
    <n v="84"/>
    <n v="897"/>
    <n v="85"/>
    <n v="588"/>
    <n v="181.29251700680271"/>
  </r>
  <r>
    <s v="P221"/>
    <x v="3"/>
    <n v="4453"/>
    <n v="111"/>
    <n v="420"/>
    <n v="31171"/>
    <n v="15.989220750056141"/>
  </r>
  <r>
    <s v="P222"/>
    <x v="3"/>
    <n v="1814"/>
    <n v="653"/>
    <n v="363"/>
    <n v="25396"/>
    <n v="11.143487163332809"/>
  </r>
  <r>
    <s v="P223"/>
    <x v="0"/>
    <n v="3338"/>
    <n v="277"/>
    <n v="118"/>
    <n v="60084"/>
    <n v="6.2129685107516144"/>
  </r>
  <r>
    <s v="P224"/>
    <x v="3"/>
    <n v="602"/>
    <n v="594"/>
    <n v="156"/>
    <n v="4214"/>
    <n v="32.083531086853348"/>
  </r>
  <r>
    <s v="P225"/>
    <x v="0"/>
    <n v="4672"/>
    <n v="325"/>
    <n v="32"/>
    <n v="88768"/>
    <n v="5.6653298485940882"/>
  </r>
  <r>
    <s v="P226"/>
    <x v="2"/>
    <n v="1741"/>
    <n v="164"/>
    <n v="318"/>
    <n v="8705"/>
    <n v="25.537047673750717"/>
  </r>
  <r>
    <s v="P227"/>
    <x v="2"/>
    <n v="246"/>
    <n v="149"/>
    <n v="130"/>
    <n v="4674"/>
    <n v="11.232349165596919"/>
  </r>
  <r>
    <s v="P228"/>
    <x v="2"/>
    <n v="4808"/>
    <n v="772"/>
    <n v="320"/>
    <n v="72120"/>
    <n v="8.1808097615085966"/>
  </r>
  <r>
    <s v="P229"/>
    <x v="2"/>
    <n v="4799"/>
    <n v="694"/>
    <n v="289"/>
    <n v="43191"/>
    <n v="13.387048227640017"/>
  </r>
  <r>
    <s v="P230"/>
    <x v="3"/>
    <n v="3663"/>
    <n v="17"/>
    <n v="295"/>
    <n v="51282"/>
    <n v="7.751257751257751"/>
  </r>
  <r>
    <s v="P231"/>
    <x v="2"/>
    <n v="1430"/>
    <n v="376"/>
    <n v="33"/>
    <n v="21450"/>
    <n v="8.5734265734265733"/>
  </r>
  <r>
    <s v="P232"/>
    <x v="0"/>
    <n v="249"/>
    <n v="592"/>
    <n v="230"/>
    <n v="1494"/>
    <n v="71.686746987951807"/>
  </r>
  <r>
    <s v="P233"/>
    <x v="3"/>
    <n v="2382"/>
    <n v="265"/>
    <n v="134"/>
    <n v="38112"/>
    <n v="7.2969143576826196"/>
  </r>
  <r>
    <s v="P234"/>
    <x v="3"/>
    <n v="1272"/>
    <n v="465"/>
    <n v="99"/>
    <n v="24168"/>
    <n v="7.5968222442899709"/>
  </r>
  <r>
    <s v="P235"/>
    <x v="3"/>
    <n v="3196"/>
    <n v="941"/>
    <n v="376"/>
    <n v="35156"/>
    <n v="12.837069063602231"/>
  </r>
  <r>
    <s v="P236"/>
    <x v="3"/>
    <n v="1257"/>
    <n v="19"/>
    <n v="351"/>
    <n v="12570"/>
    <n v="12.943516308671441"/>
  </r>
  <r>
    <s v="P237"/>
    <x v="2"/>
    <n v="3770"/>
    <n v="917"/>
    <n v="129"/>
    <n v="71630"/>
    <n v="6.7234398994834565"/>
  </r>
  <r>
    <s v="P238"/>
    <x v="0"/>
    <n v="4725"/>
    <n v="400"/>
    <n v="362"/>
    <n v="75600"/>
    <n v="7.2579365079365079"/>
  </r>
  <r>
    <s v="P239"/>
    <x v="1"/>
    <n v="4188"/>
    <n v="942"/>
    <n v="118"/>
    <n v="20940"/>
    <n v="25.062082139446034"/>
  </r>
  <r>
    <s v="P240"/>
    <x v="0"/>
    <n v="929"/>
    <n v="192"/>
    <n v="322"/>
    <n v="16722"/>
    <n v="8.6293505561535699"/>
  </r>
  <r>
    <s v="P241"/>
    <x v="3"/>
    <n v="4321"/>
    <n v="874"/>
    <n v="172"/>
    <n v="30247"/>
    <n v="17.74390848679208"/>
  </r>
  <r>
    <s v="P242"/>
    <x v="3"/>
    <n v="4767"/>
    <n v="190"/>
    <n v="340"/>
    <n v="28602"/>
    <n v="18.519683938186141"/>
  </r>
  <r>
    <s v="P243"/>
    <x v="0"/>
    <n v="3592"/>
    <n v="911"/>
    <n v="375"/>
    <n v="50288"/>
    <n v="9.7001272669424115"/>
  </r>
  <r>
    <s v="P244"/>
    <x v="1"/>
    <n v="4661"/>
    <n v="935"/>
    <n v="433"/>
    <n v="23305"/>
    <n v="25.869984981763572"/>
  </r>
  <r>
    <s v="P245"/>
    <x v="3"/>
    <n v="4134"/>
    <n v="824"/>
    <n v="99"/>
    <n v="41340"/>
    <n v="12.232704402515724"/>
  </r>
  <r>
    <s v="P246"/>
    <x v="3"/>
    <n v="400"/>
    <n v="680"/>
    <n v="434"/>
    <n v="6400"/>
    <n v="23.65625"/>
  </r>
  <r>
    <s v="P247"/>
    <x v="3"/>
    <n v="3960"/>
    <n v="266"/>
    <n v="8"/>
    <n v="35640"/>
    <n v="11.879910213243546"/>
  </r>
  <r>
    <s v="P248"/>
    <x v="3"/>
    <n v="886"/>
    <n v="126"/>
    <n v="153"/>
    <n v="4430"/>
    <n v="26.297968397291193"/>
  </r>
  <r>
    <s v="P249"/>
    <x v="0"/>
    <n v="827"/>
    <n v="77"/>
    <n v="402"/>
    <n v="14886"/>
    <n v="8.7733440816874904"/>
  </r>
  <r>
    <s v="P250"/>
    <x v="3"/>
    <n v="3813"/>
    <n v="935"/>
    <n v="274"/>
    <n v="68634"/>
    <n v="7.3170731707317067"/>
  </r>
  <r>
    <s v="P251"/>
    <x v="2"/>
    <n v="1377"/>
    <n v="796"/>
    <n v="387"/>
    <n v="22032"/>
    <n v="11.619462599854756"/>
  </r>
  <r>
    <s v="P252"/>
    <x v="3"/>
    <n v="2089"/>
    <n v="476"/>
    <n v="69"/>
    <n v="16712"/>
    <n v="15.761129727142173"/>
  </r>
  <r>
    <s v="P253"/>
    <x v="0"/>
    <n v="3791"/>
    <n v="593"/>
    <n v="228"/>
    <n v="53074"/>
    <n v="8.6897539284772201"/>
  </r>
  <r>
    <s v="P254"/>
    <x v="0"/>
    <n v="2692"/>
    <n v="115"/>
    <n v="64"/>
    <n v="21536"/>
    <n v="13.331166419019317"/>
  </r>
  <r>
    <s v="P255"/>
    <x v="3"/>
    <n v="3767"/>
    <n v="514"/>
    <n v="238"/>
    <n v="37670"/>
    <n v="11.996283514733209"/>
  </r>
  <r>
    <s v="P256"/>
    <x v="1"/>
    <n v="2143"/>
    <n v="12"/>
    <n v="204"/>
    <n v="40717"/>
    <n v="5.793648844463001"/>
  </r>
  <r>
    <s v="P257"/>
    <x v="3"/>
    <n v="3090"/>
    <n v="697"/>
    <n v="164"/>
    <n v="49440"/>
    <n v="7.991504854368932"/>
  </r>
  <r>
    <s v="P258"/>
    <x v="2"/>
    <n v="3601"/>
    <n v="695"/>
    <n v="75"/>
    <n v="21606"/>
    <n v="20.230491530130521"/>
  </r>
  <r>
    <s v="P259"/>
    <x v="3"/>
    <n v="562"/>
    <n v="158"/>
    <n v="149"/>
    <n v="3372"/>
    <n v="25.771055753262157"/>
  </r>
  <r>
    <s v="P260"/>
    <x v="2"/>
    <n v="4332"/>
    <n v="771"/>
    <n v="219"/>
    <n v="60648"/>
    <n v="8.775227542540561"/>
  </r>
  <r>
    <s v="P261"/>
    <x v="2"/>
    <n v="4853"/>
    <n v="837"/>
    <n v="340"/>
    <n v="72795"/>
    <n v="8.2835359571399128"/>
  </r>
  <r>
    <s v="P262"/>
    <x v="1"/>
    <n v="1206"/>
    <n v="238"/>
    <n v="36"/>
    <n v="9648"/>
    <n v="15.339966832504146"/>
  </r>
  <r>
    <s v="P263"/>
    <x v="2"/>
    <n v="2603"/>
    <n v="690"/>
    <n v="205"/>
    <n v="13015"/>
    <n v="26.876680752977332"/>
  </r>
  <r>
    <s v="P264"/>
    <x v="0"/>
    <n v="59"/>
    <n v="163"/>
    <n v="93"/>
    <n v="590"/>
    <n v="53.389830508474581"/>
  </r>
  <r>
    <s v="P265"/>
    <x v="0"/>
    <n v="1877"/>
    <n v="745"/>
    <n v="225"/>
    <n v="11262"/>
    <n v="25.279701651571656"/>
  </r>
  <r>
    <s v="P266"/>
    <x v="3"/>
    <n v="4182"/>
    <n v="640"/>
    <n v="240"/>
    <n v="50184"/>
    <n v="10.086880280567511"/>
  </r>
  <r>
    <s v="P267"/>
    <x v="0"/>
    <n v="4187"/>
    <n v="66"/>
    <n v="31"/>
    <n v="66992"/>
    <n v="6.3947934081681392"/>
  </r>
  <r>
    <s v="P268"/>
    <x v="2"/>
    <n v="4579"/>
    <n v="125"/>
    <n v="300"/>
    <n v="59527"/>
    <n v="8.4062694239588751"/>
  </r>
  <r>
    <s v="P269"/>
    <x v="2"/>
    <n v="4561"/>
    <n v="51"/>
    <n v="441"/>
    <n v="22805"/>
    <n v="22.157421618066213"/>
  </r>
  <r>
    <s v="P270"/>
    <x v="1"/>
    <n v="3774"/>
    <n v="239"/>
    <n v="39"/>
    <n v="60384"/>
    <n v="6.7103868574456813"/>
  </r>
  <r>
    <s v="P271"/>
    <x v="2"/>
    <n v="3575"/>
    <n v="749"/>
    <n v="111"/>
    <n v="21450"/>
    <n v="20.675990675990676"/>
  </r>
  <r>
    <s v="P272"/>
    <x v="2"/>
    <n v="4941"/>
    <n v="414"/>
    <n v="266"/>
    <n v="39528"/>
    <n v="14.220299534507186"/>
  </r>
  <r>
    <s v="P273"/>
    <x v="1"/>
    <n v="3641"/>
    <n v="226"/>
    <n v="46"/>
    <n v="40051"/>
    <n v="9.770043194926469"/>
  </r>
  <r>
    <s v="P274"/>
    <x v="0"/>
    <n v="3535"/>
    <n v="494"/>
    <n v="152"/>
    <n v="53025"/>
    <n v="7.8849599245638853"/>
  </r>
  <r>
    <s v="P275"/>
    <x v="3"/>
    <n v="1741"/>
    <n v="831"/>
    <n v="345"/>
    <n v="17410"/>
    <n v="16.754738655944859"/>
  </r>
  <r>
    <s v="P276"/>
    <x v="0"/>
    <n v="1556"/>
    <n v="195"/>
    <n v="131"/>
    <n v="9336"/>
    <n v="20.158526135389891"/>
  </r>
  <r>
    <s v="P277"/>
    <x v="3"/>
    <n v="4236"/>
    <n v="711"/>
    <n v="298"/>
    <n v="21180"/>
    <n v="24.76392823418319"/>
  </r>
  <r>
    <s v="P278"/>
    <x v="0"/>
    <n v="4516"/>
    <n v="836"/>
    <n v="169"/>
    <n v="49676"/>
    <n v="11.114018842096787"/>
  </r>
  <r>
    <s v="P279"/>
    <x v="1"/>
    <n v="4905"/>
    <n v="845"/>
    <n v="129"/>
    <n v="98100"/>
    <n v="5.9928644240570845"/>
  </r>
  <r>
    <s v="P280"/>
    <x v="1"/>
    <n v="4275"/>
    <n v="680"/>
    <n v="385"/>
    <n v="64125"/>
    <n v="8.3274853801169577"/>
  </r>
  <r>
    <s v="P281"/>
    <x v="1"/>
    <n v="3166"/>
    <n v="90"/>
    <n v="341"/>
    <n v="56988"/>
    <n v="6.3118551273952415"/>
  </r>
  <r>
    <s v="P282"/>
    <x v="2"/>
    <n v="1488"/>
    <n v="417"/>
    <n v="168"/>
    <n v="19344"/>
    <n v="10.716501240694789"/>
  </r>
  <r>
    <s v="P283"/>
    <x v="0"/>
    <n v="3367"/>
    <n v="302"/>
    <n v="57"/>
    <n v="63973"/>
    <n v="5.8243321401216139"/>
  </r>
  <r>
    <s v="P284"/>
    <x v="0"/>
    <n v="571"/>
    <n v="190"/>
    <n v="352"/>
    <n v="9707"/>
    <n v="11.46595240548058"/>
  </r>
  <r>
    <s v="P285"/>
    <x v="1"/>
    <n v="4021"/>
    <n v="794"/>
    <n v="77"/>
    <n v="36189"/>
    <n v="13.517919809886983"/>
  </r>
  <r>
    <s v="P286"/>
    <x v="1"/>
    <n v="3389"/>
    <n v="344"/>
    <n v="229"/>
    <n v="20334"/>
    <n v="19.484607062063539"/>
  </r>
  <r>
    <s v="P287"/>
    <x v="2"/>
    <n v="1164"/>
    <n v="616"/>
    <n v="324"/>
    <n v="6984"/>
    <n v="30.126002290950744"/>
  </r>
  <r>
    <s v="P288"/>
    <x v="1"/>
    <n v="4780"/>
    <n v="691"/>
    <n v="380"/>
    <n v="86040"/>
    <n v="6.8003254300325429"/>
  </r>
  <r>
    <s v="P289"/>
    <x v="3"/>
    <n v="2751"/>
    <n v="33"/>
    <n v="430"/>
    <n v="44016"/>
    <n v="7.3018902217375503"/>
  </r>
  <r>
    <s v="P290"/>
    <x v="2"/>
    <n v="2107"/>
    <n v="550"/>
    <n v="349"/>
    <n v="35819"/>
    <n v="8.392194086937101"/>
  </r>
  <r>
    <s v="P291"/>
    <x v="3"/>
    <n v="4663"/>
    <n v="145"/>
    <n v="225"/>
    <n v="69945"/>
    <n v="7.1956537279290869"/>
  </r>
  <r>
    <s v="P292"/>
    <x v="3"/>
    <n v="880"/>
    <n v="297"/>
    <n v="345"/>
    <n v="12320"/>
    <n v="12.353896103896105"/>
  </r>
  <r>
    <s v="P293"/>
    <x v="3"/>
    <n v="2634"/>
    <n v="726"/>
    <n v="241"/>
    <n v="28974"/>
    <n v="12.428384068475184"/>
  </r>
  <r>
    <s v="P294"/>
    <x v="3"/>
    <n v="4731"/>
    <n v="173"/>
    <n v="276"/>
    <n v="28386"/>
    <n v="18.248432325794404"/>
  </r>
  <r>
    <s v="P295"/>
    <x v="0"/>
    <n v="1952"/>
    <n v="344"/>
    <n v="287"/>
    <n v="15616"/>
    <n v="16.540727459016395"/>
  </r>
  <r>
    <s v="P296"/>
    <x v="0"/>
    <n v="3440"/>
    <n v="13"/>
    <n v="20"/>
    <n v="58480"/>
    <n v="5.938782489740082"/>
  </r>
  <r>
    <s v="P297"/>
    <x v="0"/>
    <n v="2166"/>
    <n v="354"/>
    <n v="117"/>
    <n v="10830"/>
    <n v="24.349030470914126"/>
  </r>
  <r>
    <s v="P298"/>
    <x v="3"/>
    <n v="4303"/>
    <n v="451"/>
    <n v="286"/>
    <n v="86060"/>
    <n v="5.8563792702765518"/>
  </r>
  <r>
    <s v="P299"/>
    <x v="3"/>
    <n v="2581"/>
    <n v="517"/>
    <n v="117"/>
    <n v="23229"/>
    <n v="13.840458048129491"/>
  </r>
  <r>
    <s v="P300"/>
    <x v="0"/>
    <n v="4494"/>
    <n v="717"/>
    <n v="45"/>
    <n v="62916"/>
    <n v="8.353995803929048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x v="0"/>
    <d v="2024-12-23T00:00:00"/>
    <x v="0"/>
    <s v="Check out our latest reel on twitter!"/>
    <n v="1461"/>
    <n v="184"/>
    <n v="344"/>
    <n v="21915"/>
    <n v="21675"/>
    <n v="15"/>
    <s v="#FutureOfDriving"/>
    <s v="CybertruckLaunch"/>
    <n v="9.0759753593429152E-2"/>
  </r>
  <r>
    <s v="P001"/>
    <x v="0"/>
    <d v="2024-12-23T00:00:00"/>
    <x v="0"/>
    <s v="Check out our latest reel on twitter!"/>
    <n v="1461"/>
    <n v="184"/>
    <n v="344"/>
    <n v="21915"/>
    <n v="21675"/>
    <n v="15"/>
    <s v="#AnytimeIsTeslaTime"/>
    <s v="CybertruckLaunch"/>
    <n v="9.0759753593429152E-2"/>
  </r>
  <r>
    <s v="P002"/>
    <x v="0"/>
    <d v="2025-04-03T00:00:00"/>
    <x v="1"/>
    <s v="Check out our latest text on twitter!"/>
    <n v="4054"/>
    <n v="389"/>
    <n v="493"/>
    <n v="64864"/>
    <n v="64383"/>
    <n v="117"/>
    <s v="#TeslaCoInnovation"/>
    <s v="ModelYCampaign"/>
    <n v="7.6097681302417369E-2"/>
  </r>
  <r>
    <s v="P002"/>
    <x v="0"/>
    <d v="2025-04-03T00:00:00"/>
    <x v="1"/>
    <s v="Check out our latest text on twitter!"/>
    <n v="4054"/>
    <n v="389"/>
    <n v="493"/>
    <n v="64864"/>
    <n v="64383"/>
    <n v="117"/>
    <s v="#BetterWithTesla"/>
    <s v="ModelYCampaign"/>
    <n v="7.6097681302417369E-2"/>
  </r>
  <r>
    <s v="P003"/>
    <x v="1"/>
    <d v="2025-05-12T00:00:00"/>
    <x v="0"/>
    <s v="Check out our latest reel on youtube!"/>
    <n v="2795"/>
    <n v="105"/>
    <n v="49"/>
    <n v="53105"/>
    <n v="52307"/>
    <n v="204"/>
    <s v="#TeslaCoInnovation"/>
    <s v="FSDUpdate"/>
    <n v="5.5531494209584788E-2"/>
  </r>
  <r>
    <s v="P004"/>
    <x v="2"/>
    <d v="2024-08-12T00:00:00"/>
    <x v="2"/>
    <s v="Check out our latest story on instagram!"/>
    <n v="2404"/>
    <n v="363"/>
    <n v="138"/>
    <n v="19232"/>
    <n v="18636"/>
    <n v="128"/>
    <s v="#EVRevolution"/>
    <s v="SustainabilityDrive"/>
    <n v="0.15105033277870217"/>
  </r>
  <r>
    <s v="P005"/>
    <x v="1"/>
    <d v="2024-06-26T00:00:00"/>
    <x v="0"/>
    <s v="Check out our latest reel on youtube!"/>
    <n v="3557"/>
    <n v="687"/>
    <n v="424"/>
    <n v="71140"/>
    <n v="70701"/>
    <n v="224"/>
    <s v="#EVRevolution"/>
    <s v="CybertruckLaunch"/>
    <n v="6.5617093055946027E-2"/>
  </r>
  <r>
    <s v="P005"/>
    <x v="1"/>
    <d v="2024-06-26T00:00:00"/>
    <x v="0"/>
    <s v="Check out our latest reel on youtube!"/>
    <n v="3557"/>
    <n v="687"/>
    <n v="424"/>
    <n v="71140"/>
    <n v="70701"/>
    <n v="224"/>
    <s v="#TeslaCoInnovation"/>
    <s v="CybertruckLaunch"/>
    <n v="6.5617093055946027E-2"/>
  </r>
  <r>
    <s v="P006"/>
    <x v="3"/>
    <d v="2024-10-31T00:00:00"/>
    <x v="3"/>
    <s v="Check out our latest carousel on facebook!"/>
    <n v="2945"/>
    <n v="930"/>
    <n v="355"/>
    <n v="23560"/>
    <n v="23275"/>
    <n v="256"/>
    <s v="#TeslaCoInnovation"/>
    <s v="ModelYCampaign"/>
    <n v="0.17954159592529711"/>
  </r>
  <r>
    <s v="P007"/>
    <x v="0"/>
    <d v="2024-06-24T00:00:00"/>
    <x v="3"/>
    <s v="Check out our latest carousel on twitter!"/>
    <n v="3860"/>
    <n v="201"/>
    <n v="279"/>
    <n v="61760"/>
    <n v="61660"/>
    <n v="235"/>
    <s v="#TeslaCoInnovation"/>
    <s v="ModelYCampaign"/>
    <n v="7.0272020725388601E-2"/>
  </r>
  <r>
    <s v="P008"/>
    <x v="1"/>
    <d v="2024-07-13T00:00:00"/>
    <x v="4"/>
    <s v="Check out our latest image on youtube!"/>
    <n v="3929"/>
    <n v="262"/>
    <n v="278"/>
    <n v="43219"/>
    <n v="42841"/>
    <n v="39"/>
    <s v="#EVRevolution"/>
    <s v="SustainabilityDrive"/>
    <n v="0.10340359564080613"/>
  </r>
  <r>
    <s v="P009"/>
    <x v="3"/>
    <d v="2024-08-30T00:00:00"/>
    <x v="1"/>
    <s v="Check out our latest text on facebook!"/>
    <n v="3784"/>
    <n v="808"/>
    <n v="404"/>
    <n v="56760"/>
    <n v="56343"/>
    <n v="131"/>
    <s v="#TeslaCoInnovation"/>
    <s v="ModelYCampaign"/>
    <n v="8.8019732205778717E-2"/>
  </r>
  <r>
    <s v="P010"/>
    <x v="3"/>
    <d v="2025-03-11T00:00:00"/>
    <x v="4"/>
    <s v="Check out our latest image on facebook!"/>
    <n v="4241"/>
    <n v="902"/>
    <n v="47"/>
    <n v="72097"/>
    <n v="71598"/>
    <n v="167"/>
    <s v="#TeslaCoInnovation"/>
    <s v="ModelYCampaign"/>
    <n v="7.198635172059864E-2"/>
  </r>
  <r>
    <s v="P011"/>
    <x v="2"/>
    <d v="2025-02-02T00:00:00"/>
    <x v="2"/>
    <s v="Check out our latest story on instagram!"/>
    <n v="1792"/>
    <n v="614"/>
    <n v="497"/>
    <n v="25088"/>
    <n v="24675"/>
    <n v="65"/>
    <s v="#FutureOfDriving"/>
    <s v="SustainabilityDrive"/>
    <n v="0.11571269132653061"/>
  </r>
  <r>
    <s v="P012"/>
    <x v="3"/>
    <d v="2024-07-21T00:00:00"/>
    <x v="0"/>
    <s v="Check out our latest reel on facebook!"/>
    <n v="1946"/>
    <n v="686"/>
    <n v="377"/>
    <n v="23352"/>
    <n v="22982"/>
    <n v="213"/>
    <s v="#FutureOfDriving"/>
    <s v="FSDUpdate"/>
    <n v="0.12885405960945528"/>
  </r>
  <r>
    <s v="P013"/>
    <x v="1"/>
    <d v="2024-11-18T00:00:00"/>
    <x v="3"/>
    <s v="Check out our latest carousel on youtube!"/>
    <n v="1171"/>
    <n v="286"/>
    <n v="231"/>
    <n v="22249"/>
    <n v="21282"/>
    <n v="114"/>
    <s v="#EVRevolution"/>
    <s v="CybertruckLaunch"/>
    <n v="7.5868578363072495E-2"/>
  </r>
  <r>
    <s v="P014"/>
    <x v="3"/>
    <d v="2025-02-16T00:00:00"/>
    <x v="2"/>
    <s v="Check out our latest story on facebook!"/>
    <n v="4242"/>
    <n v="555"/>
    <n v="131"/>
    <n v="33936"/>
    <n v="33802"/>
    <n v="265"/>
    <s v="#FutureOfDriving"/>
    <m/>
    <n v="0.14521452145214522"/>
  </r>
  <r>
    <s v="P015"/>
    <x v="3"/>
    <d v="2024-10-24T00:00:00"/>
    <x v="5"/>
    <s v="Check out our latest video on facebook!"/>
    <n v="3888"/>
    <n v="604"/>
    <n v="128"/>
    <n v="77760"/>
    <n v="77167"/>
    <n v="20"/>
    <s v="#FutureOfDriving"/>
    <s v="CybertruckLaunch"/>
    <n v="5.941358024691358E-2"/>
  </r>
  <r>
    <s v="P016"/>
    <x v="3"/>
    <d v="2024-08-26T00:00:00"/>
    <x v="1"/>
    <s v="Check out our latest text on facebook!"/>
    <n v="3452"/>
    <n v="377"/>
    <n v="360"/>
    <n v="55232"/>
    <n v="55075"/>
    <n v="87"/>
    <s v="#FutureOfDriving"/>
    <s v="FSDUpdate"/>
    <n v="7.5843713789107758E-2"/>
  </r>
  <r>
    <s v="P017"/>
    <x v="3"/>
    <d v="2025-05-05T00:00:00"/>
    <x v="1"/>
    <s v="Check out our latest text on facebook!"/>
    <n v="4441"/>
    <n v="511"/>
    <n v="70"/>
    <n v="53292"/>
    <n v="53082"/>
    <n v="159"/>
    <s v="#EVRevolution"/>
    <s v="SustainabilityDrive"/>
    <n v="9.4235532537716729E-2"/>
  </r>
  <r>
    <s v="P018"/>
    <x v="2"/>
    <d v="2024-08-19T00:00:00"/>
    <x v="0"/>
    <s v="Check out our latest reel on instagram!"/>
    <n v="3000"/>
    <n v="382"/>
    <n v="325"/>
    <n v="36000"/>
    <n v="35819"/>
    <n v="19"/>
    <s v="#FutureOfDriving"/>
    <s v="CybertruckLaunch"/>
    <n v="0.10297222222222223"/>
  </r>
  <r>
    <s v="P019"/>
    <x v="2"/>
    <d v="2024-06-23T00:00:00"/>
    <x v="5"/>
    <s v="Check out our latest video on instagram!"/>
    <n v="1071"/>
    <n v="519"/>
    <n v="22"/>
    <n v="16065"/>
    <n v="15865"/>
    <n v="103"/>
    <s v="#TeslaCoInnovation"/>
    <s v="SustainabilityDrive"/>
    <n v="0.10034235916588857"/>
  </r>
  <r>
    <s v="P020"/>
    <x v="2"/>
    <d v="2024-09-09T00:00:00"/>
    <x v="3"/>
    <s v="Check out our latest carousel on instagram!"/>
    <n v="4054"/>
    <n v="488"/>
    <n v="373"/>
    <n v="77026"/>
    <n v="76881"/>
    <n v="25"/>
    <s v="#TeslaCoInnovation"/>
    <s v="CybertruckLaunch"/>
    <n v="6.3809622724794221E-2"/>
  </r>
  <r>
    <s v="P021"/>
    <x v="2"/>
    <d v="2025-01-04T00:00:00"/>
    <x v="0"/>
    <s v="Check out our latest reel on instagram!"/>
    <n v="4838"/>
    <n v="640"/>
    <n v="128"/>
    <n v="72570"/>
    <n v="72396"/>
    <n v="83"/>
    <s v="#FutureOfDriving"/>
    <s v="SustainabilityDrive"/>
    <n v="7.7249552156538517E-2"/>
  </r>
  <r>
    <s v="P022"/>
    <x v="3"/>
    <d v="2025-02-27T00:00:00"/>
    <x v="1"/>
    <s v="Check out our latest text on facebook!"/>
    <n v="1570"/>
    <n v="187"/>
    <n v="260"/>
    <n v="25120"/>
    <n v="24613"/>
    <n v="133"/>
    <s v="#TeslaCoInnovation"/>
    <s v="SustainabilityDrive"/>
    <n v="8.0294585987261149E-2"/>
  </r>
  <r>
    <s v="P023"/>
    <x v="3"/>
    <d v="2024-11-06T00:00:00"/>
    <x v="5"/>
    <s v="Check out our latest video on facebook!"/>
    <n v="1606"/>
    <n v="547"/>
    <n v="316"/>
    <n v="32120"/>
    <n v="31736"/>
    <n v="225"/>
    <s v="#TeslaCoInnovation"/>
    <s v="ModelYCampaign"/>
    <n v="7.6867995018679955E-2"/>
  </r>
  <r>
    <s v="P023"/>
    <x v="3"/>
    <d v="2024-11-06T00:00:00"/>
    <x v="5"/>
    <s v="Check out our latest video on facebook!"/>
    <n v="1606"/>
    <n v="547"/>
    <n v="316"/>
    <n v="32120"/>
    <n v="31736"/>
    <n v="225"/>
    <s v="#AnytimeIsTeslaTime"/>
    <s v="ModelYCampaign"/>
    <n v="7.6867995018679955E-2"/>
  </r>
  <r>
    <s v="P024"/>
    <x v="3"/>
    <d v="2025-01-23T00:00:00"/>
    <x v="5"/>
    <s v="Check out our latest video on facebook!"/>
    <n v="3961"/>
    <n v="761"/>
    <n v="131"/>
    <n v="67337"/>
    <n v="66615"/>
    <n v="161"/>
    <s v="#FutureOfDriving"/>
    <s v="FSDUpdate"/>
    <n v="7.2070332803659209E-2"/>
  </r>
  <r>
    <s v="P025"/>
    <x v="0"/>
    <d v="2025-04-10T00:00:00"/>
    <x v="3"/>
    <s v="Check out our latest carousel on twitter!"/>
    <n v="3128"/>
    <n v="211"/>
    <n v="197"/>
    <n v="59432"/>
    <n v="59182"/>
    <n v="238"/>
    <s v="#EVRevolution"/>
    <m/>
    <n v="5.9496567505720827E-2"/>
  </r>
  <r>
    <s v="P026"/>
    <x v="1"/>
    <d v="2025-04-05T00:00:00"/>
    <x v="0"/>
    <s v="Check out our latest reel on youtube!"/>
    <n v="3009"/>
    <n v="413"/>
    <n v="358"/>
    <n v="42126"/>
    <n v="41309"/>
    <n v="211"/>
    <s v="#FutureOfDriving"/>
    <s v="ModelYCampaign"/>
    <n v="8.9730807577268201E-2"/>
  </r>
  <r>
    <s v="P027"/>
    <x v="1"/>
    <d v="2024-09-17T00:00:00"/>
    <x v="1"/>
    <s v="Check out our latest text on youtube!"/>
    <n v="2076"/>
    <n v="195"/>
    <n v="104"/>
    <n v="33216"/>
    <n v="32244"/>
    <n v="51"/>
    <s v="#FutureOfDriving"/>
    <s v="SustainabilityDrive"/>
    <n v="7.1501685934489398E-2"/>
  </r>
  <r>
    <s v="P028"/>
    <x v="2"/>
    <d v="2025-03-04T00:00:00"/>
    <x v="5"/>
    <s v="Check out our latest video on instagram!"/>
    <n v="432"/>
    <n v="624"/>
    <n v="123"/>
    <n v="6912"/>
    <n v="6259"/>
    <n v="79"/>
    <s v="#FutureOfDriving"/>
    <s v="SustainabilityDrive"/>
    <n v="0.17057291666666666"/>
  </r>
  <r>
    <s v="P029"/>
    <x v="2"/>
    <d v="2025-01-31T00:00:00"/>
    <x v="3"/>
    <s v="Check out our latest carousel on instagram!"/>
    <n v="2566"/>
    <n v="118"/>
    <n v="37"/>
    <n v="12830"/>
    <n v="12264"/>
    <n v="221"/>
    <s v="#FutureOfDriving"/>
    <s v="FSDUpdate"/>
    <n v="0.21208106001558846"/>
  </r>
  <r>
    <s v="P030"/>
    <x v="2"/>
    <d v="2025-02-25T00:00:00"/>
    <x v="5"/>
    <s v="Check out our latest video on instagram!"/>
    <n v="3095"/>
    <n v="39"/>
    <n v="78"/>
    <n v="55710"/>
    <n v="54808"/>
    <n v="93"/>
    <s v="#EVRevolution"/>
    <m/>
    <n v="5.7655717106444085E-2"/>
  </r>
  <r>
    <s v="P031"/>
    <x v="2"/>
    <d v="2024-12-16T00:00:00"/>
    <x v="1"/>
    <s v="Check out our latest text on instagram!"/>
    <n v="438"/>
    <n v="153"/>
    <n v="275"/>
    <n v="3066"/>
    <n v="2701"/>
    <n v="282"/>
    <s v="#TeslaCoInnovation"/>
    <s v="ModelYCampaign"/>
    <n v="0.28245270711024134"/>
  </r>
  <r>
    <s v="P032"/>
    <x v="0"/>
    <d v="2024-07-31T00:00:00"/>
    <x v="3"/>
    <s v="Check out our latest carousel on twitter!"/>
    <n v="2278"/>
    <n v="10"/>
    <n v="321"/>
    <n v="13668"/>
    <n v="12676"/>
    <n v="275"/>
    <s v="#EVRevolution"/>
    <s v="CybertruckLaunch"/>
    <n v="0.19088381621305239"/>
  </r>
  <r>
    <s v="P033"/>
    <x v="3"/>
    <d v="2024-08-21T00:00:00"/>
    <x v="4"/>
    <s v="Check out our latest image on facebook!"/>
    <n v="1407"/>
    <n v="400"/>
    <n v="351"/>
    <n v="16884"/>
    <n v="15954"/>
    <n v="113"/>
    <s v="#TeslaCoInnovation"/>
    <s v="CybertruckLaunch"/>
    <n v="0.12781331438047855"/>
  </r>
  <r>
    <s v="P034"/>
    <x v="3"/>
    <d v="2025-03-26T00:00:00"/>
    <x v="1"/>
    <s v="Check out our latest text on facebook!"/>
    <n v="1652"/>
    <n v="89"/>
    <n v="357"/>
    <n v="29736"/>
    <n v="28771"/>
    <n v="215"/>
    <s v="#TeslaCoInnovation"/>
    <s v="FSDUpdate"/>
    <n v="7.055421038471886E-2"/>
  </r>
  <r>
    <s v="P035"/>
    <x v="2"/>
    <d v="2024-11-30T00:00:00"/>
    <x v="5"/>
    <s v="Check out our latest video on instagram!"/>
    <n v="3775"/>
    <n v="16"/>
    <n v="239"/>
    <n v="33975"/>
    <n v="33310"/>
    <n v="271"/>
    <s v="#FutureOfDriving"/>
    <s v="ModelYCampaign"/>
    <n v="0.11861662987490802"/>
  </r>
  <r>
    <s v="P036"/>
    <x v="2"/>
    <d v="2025-04-19T00:00:00"/>
    <x v="2"/>
    <s v="Check out our latest story on instagram!"/>
    <n v="4518"/>
    <n v="285"/>
    <n v="383"/>
    <n v="67770"/>
    <n v="67621"/>
    <n v="31"/>
    <s v="#EVRevolution"/>
    <s v="ModelYCampaign"/>
    <n v="7.6523535487678915E-2"/>
  </r>
  <r>
    <s v="P037"/>
    <x v="3"/>
    <d v="2025-01-06T00:00:00"/>
    <x v="3"/>
    <s v="Check out our latest carousel on facebook!"/>
    <n v="3024"/>
    <n v="925"/>
    <n v="350"/>
    <n v="24192"/>
    <n v="23518"/>
    <n v="36"/>
    <s v="#EVRevolution"/>
    <s v="ModelYCampaign"/>
    <n v="0.17770337301587302"/>
  </r>
  <r>
    <s v="P038"/>
    <x v="1"/>
    <d v="2025-02-17T00:00:00"/>
    <x v="0"/>
    <s v="Check out our latest reel on youtube!"/>
    <n v="3138"/>
    <n v="123"/>
    <n v="291"/>
    <n v="28242"/>
    <n v="27550"/>
    <n v="87"/>
    <s v="#TeslaCoInnovation"/>
    <s v="SustainabilityDrive"/>
    <n v="0.12577012959422137"/>
  </r>
  <r>
    <s v="P039"/>
    <x v="3"/>
    <d v="2024-11-25T00:00:00"/>
    <x v="4"/>
    <s v="Check out our latest image on facebook!"/>
    <n v="3564"/>
    <n v="629"/>
    <n v="177"/>
    <n v="60588"/>
    <n v="59627"/>
    <n v="92"/>
    <s v="#TeslaCoInnovation"/>
    <m/>
    <n v="7.2126493695121141E-2"/>
  </r>
  <r>
    <s v="P040"/>
    <x v="0"/>
    <d v="2025-03-07T00:00:00"/>
    <x v="4"/>
    <s v="Check out our latest image on twitter!"/>
    <n v="4750"/>
    <n v="151"/>
    <n v="415"/>
    <n v="38000"/>
    <n v="37792"/>
    <n v="299"/>
    <s v="#EVRevolution"/>
    <s v="SustainabilityDrive"/>
    <n v="0.13989473684210527"/>
  </r>
  <r>
    <s v="P041"/>
    <x v="2"/>
    <d v="2025-03-08T00:00:00"/>
    <x v="0"/>
    <s v="Check out our latest reel on instagram!"/>
    <n v="456"/>
    <n v="629"/>
    <n v="428"/>
    <n v="8208"/>
    <n v="7377"/>
    <n v="205"/>
    <s v="#FutureOfDriving"/>
    <s v="SustainabilityDrive"/>
    <n v="0.18433235867446393"/>
  </r>
  <r>
    <s v="P042"/>
    <x v="1"/>
    <d v="2025-03-05T00:00:00"/>
    <x v="0"/>
    <s v="Check out our latest reel on youtube!"/>
    <n v="1543"/>
    <n v="820"/>
    <n v="333"/>
    <n v="12344"/>
    <n v="11496"/>
    <n v="241"/>
    <s v="#EVRevolution"/>
    <m/>
    <n v="0.21840570317563188"/>
  </r>
  <r>
    <s v="P043"/>
    <x v="2"/>
    <d v="2024-12-14T00:00:00"/>
    <x v="3"/>
    <s v="Check out our latest carousel on instagram!"/>
    <n v="2174"/>
    <n v="658"/>
    <n v="15"/>
    <n v="13044"/>
    <n v="12206"/>
    <n v="137"/>
    <s v="#TeslaCoInnovation"/>
    <s v="FSDUpdate"/>
    <n v="0.21826126954921804"/>
  </r>
  <r>
    <s v="P044"/>
    <x v="0"/>
    <d v="2025-03-02T00:00:00"/>
    <x v="4"/>
    <s v="Check out our latest image on twitter!"/>
    <n v="2358"/>
    <n v="784"/>
    <n v="344"/>
    <n v="35370"/>
    <n v="34475"/>
    <n v="216"/>
    <s v="#TeslaCoInnovation"/>
    <m/>
    <n v="9.8558100084817649E-2"/>
  </r>
  <r>
    <s v="P045"/>
    <x v="3"/>
    <d v="2024-11-01T00:00:00"/>
    <x v="5"/>
    <s v="Check out our latest video on facebook!"/>
    <n v="3371"/>
    <n v="106"/>
    <n v="327"/>
    <n v="50565"/>
    <n v="49816"/>
    <n v="176"/>
    <s v="#FutureOfDriving"/>
    <s v="CybertruckLaunch"/>
    <n v="7.5229902106199939E-2"/>
  </r>
  <r>
    <s v="P046"/>
    <x v="0"/>
    <d v="2025-05-02T00:00:00"/>
    <x v="5"/>
    <s v="Check out our latest video on twitter!"/>
    <n v="1108"/>
    <n v="177"/>
    <n v="212"/>
    <n v="8864"/>
    <n v="8710"/>
    <n v="97"/>
    <s v="#TeslaCoInnovation"/>
    <s v="SustainabilityDrive"/>
    <n v="0.16888537906137185"/>
  </r>
  <r>
    <s v="P047"/>
    <x v="0"/>
    <d v="2025-02-24T00:00:00"/>
    <x v="3"/>
    <s v="Check out our latest carousel on twitter!"/>
    <n v="2704"/>
    <n v="752"/>
    <n v="153"/>
    <n v="21632"/>
    <n v="20792"/>
    <n v="127"/>
    <s v="#FutureOfDriving"/>
    <m/>
    <n v="0.16683616863905326"/>
  </r>
  <r>
    <s v="P048"/>
    <x v="0"/>
    <d v="2025-03-11T00:00:00"/>
    <x v="2"/>
    <s v="Check out our latest story on twitter!"/>
    <n v="1950"/>
    <n v="295"/>
    <n v="478"/>
    <n v="37050"/>
    <n v="36272"/>
    <n v="119"/>
    <s v="#TeslaCoInnovation"/>
    <m/>
    <n v="7.349527665317139E-2"/>
  </r>
  <r>
    <s v="P049"/>
    <x v="0"/>
    <d v="2024-06-10T00:00:00"/>
    <x v="2"/>
    <s v="Check out our latest story on twitter!"/>
    <n v="2164"/>
    <n v="549"/>
    <n v="274"/>
    <n v="28132"/>
    <n v="27361"/>
    <n v="177"/>
    <s v="#TeslaCoInnovation"/>
    <s v="SustainabilityDrive"/>
    <n v="0.10617801791554102"/>
  </r>
  <r>
    <s v="P050"/>
    <x v="1"/>
    <d v="2024-07-03T00:00:00"/>
    <x v="2"/>
    <s v="Check out our latest story on youtube!"/>
    <n v="2754"/>
    <n v="130"/>
    <n v="90"/>
    <n v="22032"/>
    <n v="21288"/>
    <n v="112"/>
    <s v="#TeslaCoInnovation"/>
    <s v="FSDUpdate"/>
    <n v="0.13498547567175018"/>
  </r>
  <r>
    <s v="P051"/>
    <x v="3"/>
    <d v="2024-06-13T00:00:00"/>
    <x v="3"/>
    <s v="Check out our latest carousel on facebook!"/>
    <n v="2200"/>
    <n v="504"/>
    <n v="239"/>
    <n v="37400"/>
    <n v="36938"/>
    <n v="225"/>
    <s v="#FutureOfDriving"/>
    <s v="ModelYCampaign"/>
    <n v="7.8689839572192513E-2"/>
  </r>
  <r>
    <s v="P052"/>
    <x v="3"/>
    <d v="2025-01-03T00:00:00"/>
    <x v="4"/>
    <s v="Check out our latest image on facebook!"/>
    <n v="947"/>
    <n v="338"/>
    <n v="350"/>
    <n v="10417"/>
    <n v="9730"/>
    <n v="34"/>
    <s v="#TeslaCoInnovation"/>
    <s v="SustainabilityDrive"/>
    <n v="0.1569549774407219"/>
  </r>
  <r>
    <s v="P053"/>
    <x v="1"/>
    <d v="2025-02-24T00:00:00"/>
    <x v="3"/>
    <s v="Check out our latest carousel on youtube!"/>
    <n v="804"/>
    <n v="639"/>
    <n v="43"/>
    <n v="4020"/>
    <n v="3144"/>
    <n v="11"/>
    <s v="#EVRevolution"/>
    <m/>
    <n v="0.36965174129353234"/>
  </r>
  <r>
    <s v="P053"/>
    <x v="1"/>
    <d v="2025-02-24T00:00:00"/>
    <x v="3"/>
    <s v="Check out our latest carousel on youtube!"/>
    <n v="804"/>
    <n v="639"/>
    <n v="43"/>
    <n v="4020"/>
    <n v="3144"/>
    <n v="11"/>
    <s v="#BetterWithTesla"/>
    <m/>
    <n v="0.36965174129353234"/>
  </r>
  <r>
    <s v="P054"/>
    <x v="1"/>
    <d v="2025-03-13T00:00:00"/>
    <x v="3"/>
    <s v="Check out our latest carousel on youtube!"/>
    <n v="1686"/>
    <n v="904"/>
    <n v="472"/>
    <n v="18546"/>
    <n v="18171"/>
    <n v="52"/>
    <s v="#FutureOfDriving"/>
    <s v="ModelYCampaign"/>
    <n v="0.16510298716704411"/>
  </r>
  <r>
    <s v="P055"/>
    <x v="3"/>
    <d v="2024-06-17T00:00:00"/>
    <x v="4"/>
    <s v="Check out our latest image on facebook!"/>
    <n v="1226"/>
    <n v="119"/>
    <n v="7"/>
    <n v="14712"/>
    <n v="14049"/>
    <n v="123"/>
    <s v="#EVRevolution"/>
    <s v="SustainabilityDrive"/>
    <n v="9.1897770527460579E-2"/>
  </r>
  <r>
    <s v="P056"/>
    <x v="3"/>
    <d v="2024-12-18T00:00:00"/>
    <x v="3"/>
    <s v="Check out our latest carousel on facebook!"/>
    <n v="2946"/>
    <n v="498"/>
    <n v="367"/>
    <n v="29460"/>
    <n v="28527"/>
    <n v="60"/>
    <s v="#FutureOfDriving"/>
    <s v="FSDUpdate"/>
    <n v="0.12936184657162253"/>
  </r>
  <r>
    <s v="P057"/>
    <x v="0"/>
    <d v="2024-10-21T00:00:00"/>
    <x v="5"/>
    <s v="Check out our latest video on twitter!"/>
    <n v="2825"/>
    <n v="535"/>
    <n v="295"/>
    <n v="45200"/>
    <n v="44739"/>
    <n v="169"/>
    <s v="#TeslaCoInnovation"/>
    <s v="CybertruckLaunch"/>
    <n v="8.0862831858407078E-2"/>
  </r>
  <r>
    <s v="P058"/>
    <x v="2"/>
    <d v="2025-04-15T00:00:00"/>
    <x v="0"/>
    <s v="Check out our latest reel on instagram!"/>
    <n v="103"/>
    <n v="770"/>
    <n v="19"/>
    <n v="1030"/>
    <n v="410"/>
    <n v="262"/>
    <s v="#TeslaCoInnovation"/>
    <s v="SustainabilityDrive"/>
    <n v="0.86601941747572819"/>
  </r>
  <r>
    <s v="P059"/>
    <x v="2"/>
    <d v="2024-06-22T00:00:00"/>
    <x v="1"/>
    <s v="Check out our latest text on instagram!"/>
    <n v="2180"/>
    <n v="263"/>
    <n v="387"/>
    <n v="30520"/>
    <n v="30059"/>
    <n v="174"/>
    <s v="#EVRevolution"/>
    <m/>
    <n v="9.2726081258191345E-2"/>
  </r>
  <r>
    <s v="P060"/>
    <x v="2"/>
    <d v="2025-01-28T00:00:00"/>
    <x v="5"/>
    <s v="Check out our latest video on instagram!"/>
    <n v="904"/>
    <n v="973"/>
    <n v="63"/>
    <n v="11752"/>
    <n v="11580"/>
    <n v="84"/>
    <s v="#EVRevolution"/>
    <s v="FSDUpdate"/>
    <n v="0.1650782845473111"/>
  </r>
  <r>
    <s v="P060"/>
    <x v="2"/>
    <d v="2025-01-28T00:00:00"/>
    <x v="5"/>
    <s v="Check out our latest video on instagram!"/>
    <n v="904"/>
    <n v="973"/>
    <n v="63"/>
    <n v="11752"/>
    <n v="11580"/>
    <n v="84"/>
    <s v="#TeslaCoInnovation"/>
    <s v="FSDUpdate"/>
    <n v="0.1650782845473111"/>
  </r>
  <r>
    <s v="P060"/>
    <x v="2"/>
    <d v="2025-01-28T00:00:00"/>
    <x v="5"/>
    <s v="Check out our latest video on instagram!"/>
    <n v="904"/>
    <n v="973"/>
    <n v="63"/>
    <n v="11752"/>
    <n v="11580"/>
    <n v="84"/>
    <s v="#AnytimeIsTeslaTime"/>
    <s v="FSDUpdate"/>
    <n v="0.1650782845473111"/>
  </r>
  <r>
    <s v="P061"/>
    <x v="0"/>
    <d v="2024-09-05T00:00:00"/>
    <x v="5"/>
    <s v="Check out our latest video on twitter!"/>
    <n v="4886"/>
    <n v="983"/>
    <n v="409"/>
    <n v="43974"/>
    <n v="43239"/>
    <n v="65"/>
    <s v="#TeslaCoInnovation"/>
    <s v="CybertruckLaunch"/>
    <n v="0.14276618001546368"/>
  </r>
  <r>
    <s v="P062"/>
    <x v="0"/>
    <d v="2024-11-22T00:00:00"/>
    <x v="3"/>
    <s v="Check out our latest carousel on twitter!"/>
    <n v="53"/>
    <n v="81"/>
    <n v="379"/>
    <n v="954"/>
    <n v="7"/>
    <n v="148"/>
    <s v="#TeslaCoInnovation"/>
    <s v="FSDUpdate"/>
    <n v="0.53773584905660377"/>
  </r>
  <r>
    <s v="P063"/>
    <x v="0"/>
    <d v="2024-07-31T00:00:00"/>
    <x v="3"/>
    <s v="Check out our latest carousel on twitter!"/>
    <n v="4507"/>
    <n v="217"/>
    <n v="13"/>
    <n v="90140"/>
    <n v="89591"/>
    <n v="125"/>
    <s v="#FutureOfDriving"/>
    <s v="FSDUpdate"/>
    <n v="5.2551586421122697E-2"/>
  </r>
  <r>
    <s v="P064"/>
    <x v="3"/>
    <d v="2024-08-17T00:00:00"/>
    <x v="4"/>
    <s v="Check out our latest image on facebook!"/>
    <n v="2878"/>
    <n v="248"/>
    <n v="416"/>
    <n v="43170"/>
    <n v="42667"/>
    <n v="75"/>
    <s v="#FutureOfDriving"/>
    <s v="FSDUpdate"/>
    <n v="8.2047718322909427E-2"/>
  </r>
  <r>
    <s v="P065"/>
    <x v="2"/>
    <d v="2025-03-28T00:00:00"/>
    <x v="2"/>
    <s v="Check out our latest story on instagram!"/>
    <n v="1881"/>
    <n v="501"/>
    <n v="99"/>
    <n v="20691"/>
    <n v="19987"/>
    <n v="289"/>
    <s v="#EVRevolution"/>
    <m/>
    <n v="0.11990720603160794"/>
  </r>
  <r>
    <s v="P066"/>
    <x v="0"/>
    <d v="2024-07-26T00:00:00"/>
    <x v="3"/>
    <s v="Check out our latest carousel on twitter!"/>
    <n v="432"/>
    <n v="171"/>
    <n v="280"/>
    <n v="3024"/>
    <n v="2285"/>
    <n v="184"/>
    <s v="#EVRevolution"/>
    <s v="CybertruckLaunch"/>
    <n v="0.29199735449735448"/>
  </r>
  <r>
    <s v="P067"/>
    <x v="3"/>
    <d v="2025-03-29T00:00:00"/>
    <x v="3"/>
    <s v="Check out our latest carousel on facebook!"/>
    <n v="4712"/>
    <n v="568"/>
    <n v="127"/>
    <n v="84816"/>
    <n v="84691"/>
    <n v="100"/>
    <s v="#EVRevolution"/>
    <s v="FSDUpdate"/>
    <n v="6.3749764195434822E-2"/>
  </r>
  <r>
    <s v="P068"/>
    <x v="2"/>
    <d v="2024-12-08T00:00:00"/>
    <x v="2"/>
    <s v="Check out our latest story on instagram!"/>
    <n v="2610"/>
    <n v="126"/>
    <n v="288"/>
    <n v="15660"/>
    <n v="15145"/>
    <n v="73"/>
    <s v="#EVRevolution"/>
    <m/>
    <n v="0.19310344827586207"/>
  </r>
  <r>
    <s v="P069"/>
    <x v="0"/>
    <d v="2025-03-08T00:00:00"/>
    <x v="1"/>
    <s v="Check out our latest text on twitter!"/>
    <n v="1292"/>
    <n v="626"/>
    <n v="496"/>
    <n v="25840"/>
    <n v="24916"/>
    <n v="149"/>
    <s v="#FutureOfDriving"/>
    <s v="FSDUpdate"/>
    <n v="9.3421052631578946E-2"/>
  </r>
  <r>
    <s v="P070"/>
    <x v="3"/>
    <d v="2025-04-02T00:00:00"/>
    <x v="5"/>
    <s v="Check out our latest video on facebook!"/>
    <n v="199"/>
    <n v="772"/>
    <n v="400"/>
    <n v="3582"/>
    <n v="2988"/>
    <n v="43"/>
    <s v="#TeslaCoInnovation"/>
    <m/>
    <n v="0.38274706867671693"/>
  </r>
  <r>
    <s v="P071"/>
    <x v="1"/>
    <d v="2024-09-02T00:00:00"/>
    <x v="3"/>
    <s v="Check out our latest carousel on youtube!"/>
    <n v="2551"/>
    <n v="915"/>
    <n v="205"/>
    <n v="30612"/>
    <n v="30360"/>
    <n v="227"/>
    <s v="#TeslaCoInnovation"/>
    <s v="ModelYCampaign"/>
    <n v="0.1199202926956749"/>
  </r>
  <r>
    <s v="P072"/>
    <x v="1"/>
    <d v="2025-03-03T00:00:00"/>
    <x v="0"/>
    <s v="Check out our latest reel on youtube!"/>
    <n v="296"/>
    <n v="60"/>
    <n v="141"/>
    <n v="5624"/>
    <n v="5239"/>
    <n v="88"/>
    <s v="#EVRevolution"/>
    <s v="ModelYCampaign"/>
    <n v="8.837126600284495E-2"/>
  </r>
  <r>
    <s v="P073"/>
    <x v="3"/>
    <d v="2024-10-18T00:00:00"/>
    <x v="2"/>
    <s v="Check out our latest story on facebook!"/>
    <n v="4126"/>
    <n v="426"/>
    <n v="486"/>
    <n v="78394"/>
    <n v="77798"/>
    <n v="88"/>
    <s v="#FutureOfDriving"/>
    <s v="SustainabilityDrive"/>
    <n v="6.4265122330790625E-2"/>
  </r>
  <r>
    <s v="P074"/>
    <x v="1"/>
    <d v="2024-10-28T00:00:00"/>
    <x v="0"/>
    <s v="Check out our latest reel on youtube!"/>
    <n v="1855"/>
    <n v="200"/>
    <n v="174"/>
    <n v="16695"/>
    <n v="16330"/>
    <n v="123"/>
    <s v="#TeslaCoInnovation"/>
    <s v="FSDUpdate"/>
    <n v="0.13351302785265048"/>
  </r>
  <r>
    <s v="P075"/>
    <x v="2"/>
    <d v="2024-08-01T00:00:00"/>
    <x v="0"/>
    <s v="Check out our latest reel on instagram!"/>
    <n v="1674"/>
    <n v="929"/>
    <n v="37"/>
    <n v="21762"/>
    <n v="20998"/>
    <n v="255"/>
    <s v="#TeslaCoInnovation"/>
    <s v="SustainabilityDrive"/>
    <n v="0.12131237937689551"/>
  </r>
  <r>
    <s v="P076"/>
    <x v="0"/>
    <d v="2024-11-07T00:00:00"/>
    <x v="2"/>
    <s v="Check out our latest story on twitter!"/>
    <n v="1121"/>
    <n v="135"/>
    <n v="18"/>
    <n v="15694"/>
    <n v="14957"/>
    <n v="99"/>
    <s v="#TeslaCoInnovation"/>
    <s v="SustainabilityDrive"/>
    <n v="8.1177520071364848E-2"/>
  </r>
  <r>
    <s v="P077"/>
    <x v="3"/>
    <d v="2025-03-04T00:00:00"/>
    <x v="2"/>
    <s v="Check out our latest story on facebook!"/>
    <n v="1249"/>
    <n v="116"/>
    <n v="420"/>
    <n v="8743"/>
    <n v="8538"/>
    <n v="63"/>
    <s v="#TeslaCoInnovation"/>
    <m/>
    <n v="0.20416333066453163"/>
  </r>
  <r>
    <s v="P078"/>
    <x v="0"/>
    <d v="2024-06-17T00:00:00"/>
    <x v="4"/>
    <s v="Check out our latest image on twitter!"/>
    <n v="954"/>
    <n v="324"/>
    <n v="288"/>
    <n v="19080"/>
    <n v="18859"/>
    <n v="21"/>
    <s v="#FutureOfDriving"/>
    <s v="SustainabilityDrive"/>
    <n v="8.2075471698113203E-2"/>
  </r>
  <r>
    <s v="P079"/>
    <x v="2"/>
    <d v="2024-10-09T00:00:00"/>
    <x v="3"/>
    <s v="Check out our latest carousel on instagram!"/>
    <n v="3068"/>
    <n v="137"/>
    <n v="329"/>
    <n v="39884"/>
    <n v="39404"/>
    <n v="266"/>
    <s v="#EVRevolution"/>
    <s v="ModelYCampaign"/>
    <n v="8.860696018453515E-2"/>
  </r>
  <r>
    <s v="P080"/>
    <x v="2"/>
    <d v="2024-06-13T00:00:00"/>
    <x v="2"/>
    <s v="Check out our latest story on instagram!"/>
    <n v="2103"/>
    <n v="892"/>
    <n v="103"/>
    <n v="39957"/>
    <n v="39466"/>
    <n v="28"/>
    <s v="#FutureOfDriving"/>
    <m/>
    <n v="7.7533348349475686E-2"/>
  </r>
  <r>
    <s v="P081"/>
    <x v="2"/>
    <d v="2024-10-19T00:00:00"/>
    <x v="2"/>
    <s v="Check out our latest story on instagram!"/>
    <n v="1816"/>
    <n v="29"/>
    <n v="41"/>
    <n v="19976"/>
    <n v="19262"/>
    <n v="283"/>
    <s v="#TeslaCoInnovation"/>
    <s v="FSDUpdate"/>
    <n v="9.4413295955146179E-2"/>
  </r>
  <r>
    <s v="P082"/>
    <x v="2"/>
    <d v="2024-07-24T00:00:00"/>
    <x v="4"/>
    <s v="Check out our latest image on instagram!"/>
    <n v="725"/>
    <n v="88"/>
    <n v="428"/>
    <n v="14500"/>
    <n v="13637"/>
    <n v="200"/>
    <s v="#FutureOfDriving"/>
    <s v="FSDUpdate"/>
    <n v="8.558620689655172E-2"/>
  </r>
  <r>
    <s v="P082"/>
    <x v="2"/>
    <d v="2024-07-24T00:00:00"/>
    <x v="4"/>
    <s v="Check out our latest image on instagram!"/>
    <n v="725"/>
    <n v="88"/>
    <n v="428"/>
    <n v="14500"/>
    <n v="13637"/>
    <n v="200"/>
    <s v="#TeslaCoInnovation"/>
    <s v="FSDUpdate"/>
    <n v="8.558620689655172E-2"/>
  </r>
  <r>
    <s v="P082"/>
    <x v="2"/>
    <d v="2024-07-24T00:00:00"/>
    <x v="4"/>
    <s v="Check out our latest image on instagram!"/>
    <n v="725"/>
    <n v="88"/>
    <n v="428"/>
    <n v="14500"/>
    <n v="13637"/>
    <n v="200"/>
    <s v="#AnytimeIsTeslaTime"/>
    <s v="FSDUpdate"/>
    <n v="8.558620689655172E-2"/>
  </r>
  <r>
    <s v="P083"/>
    <x v="1"/>
    <d v="2024-10-15T00:00:00"/>
    <x v="5"/>
    <s v="Check out our latest video on youtube!"/>
    <n v="1094"/>
    <n v="472"/>
    <n v="21"/>
    <n v="9846"/>
    <n v="9609"/>
    <n v="112"/>
    <s v="#EVRevolution"/>
    <m/>
    <n v="0.16118220597196831"/>
  </r>
  <r>
    <s v="P084"/>
    <x v="3"/>
    <d v="2024-12-09T00:00:00"/>
    <x v="4"/>
    <s v="Check out our latest image on facebook!"/>
    <n v="1841"/>
    <n v="851"/>
    <n v="342"/>
    <n v="34979"/>
    <n v="34154"/>
    <n v="255"/>
    <s v="#FutureOfDriving"/>
    <s v="SustainabilityDrive"/>
    <n v="8.6737756939878216E-2"/>
  </r>
  <r>
    <s v="P085"/>
    <x v="2"/>
    <d v="2025-04-19T00:00:00"/>
    <x v="4"/>
    <s v="Check out our latest image on instagram!"/>
    <n v="4177"/>
    <n v="569"/>
    <n v="55"/>
    <n v="25062"/>
    <n v="24847"/>
    <n v="230"/>
    <s v="#FutureOfDriving"/>
    <s v="CybertruckLaunch"/>
    <n v="0.19156491900087783"/>
  </r>
  <r>
    <s v="P086"/>
    <x v="1"/>
    <d v="2025-01-27T00:00:00"/>
    <x v="1"/>
    <s v="Check out our latest text on youtube!"/>
    <n v="3428"/>
    <n v="305"/>
    <n v="85"/>
    <n v="58276"/>
    <n v="58052"/>
    <n v="242"/>
    <s v="#EVRevolution"/>
    <s v="SustainabilityDrive"/>
    <n v="6.5515821264328367E-2"/>
  </r>
  <r>
    <s v="P086"/>
    <x v="1"/>
    <d v="2025-01-27T00:00:00"/>
    <x v="1"/>
    <s v="Check out our latest text on youtube!"/>
    <n v="3428"/>
    <n v="305"/>
    <n v="85"/>
    <n v="58276"/>
    <n v="58052"/>
    <n v="242"/>
    <s v="#BetterWithTesla"/>
    <s v="SustainabilityDrive"/>
    <n v="6.5515821264328367E-2"/>
  </r>
  <r>
    <s v="P087"/>
    <x v="0"/>
    <d v="2024-06-06T00:00:00"/>
    <x v="5"/>
    <s v="Check out our latest video on twitter!"/>
    <n v="1436"/>
    <n v="765"/>
    <n v="496"/>
    <n v="12924"/>
    <n v="12701"/>
    <n v="197"/>
    <s v="#FutureOfDriving"/>
    <s v="FSDUpdate"/>
    <n v="0.20868152274837512"/>
  </r>
  <r>
    <s v="P088"/>
    <x v="3"/>
    <d v="2024-07-07T00:00:00"/>
    <x v="2"/>
    <s v="Check out our latest story on facebook!"/>
    <n v="302"/>
    <n v="47"/>
    <n v="430"/>
    <n v="5738"/>
    <n v="4890"/>
    <n v="25"/>
    <s v="#TeslaCoInnovation"/>
    <s v="SustainabilityDrive"/>
    <n v="0.13576158940397351"/>
  </r>
  <r>
    <s v="P089"/>
    <x v="0"/>
    <d v="2025-01-10T00:00:00"/>
    <x v="4"/>
    <s v="Check out our latest image on twitter!"/>
    <n v="2214"/>
    <n v="249"/>
    <n v="152"/>
    <n v="15498"/>
    <n v="14800"/>
    <n v="180"/>
    <s v="#EVRevolution"/>
    <m/>
    <n v="0.16873144921925409"/>
  </r>
  <r>
    <s v="P090"/>
    <x v="2"/>
    <d v="2024-06-03T00:00:00"/>
    <x v="4"/>
    <s v="Check out our latest image on instagram!"/>
    <n v="3861"/>
    <n v="960"/>
    <n v="101"/>
    <n v="69498"/>
    <n v="68817"/>
    <n v="297"/>
    <s v="#TeslaCoInnovation"/>
    <s v="SustainabilityDrive"/>
    <n v="7.0822181933293038E-2"/>
  </r>
  <r>
    <s v="P091"/>
    <x v="3"/>
    <d v="2025-03-24T00:00:00"/>
    <x v="4"/>
    <s v="Check out our latest image on facebook!"/>
    <n v="1263"/>
    <n v="397"/>
    <n v="357"/>
    <n v="25260"/>
    <n v="24615"/>
    <n v="137"/>
    <s v="#EVRevolution"/>
    <s v="SustainabilityDrive"/>
    <n v="7.984956452889945E-2"/>
  </r>
  <r>
    <s v="P092"/>
    <x v="0"/>
    <d v="2024-10-21T00:00:00"/>
    <x v="2"/>
    <s v="Check out our latest story on twitter!"/>
    <n v="3801"/>
    <n v="967"/>
    <n v="401"/>
    <n v="38010"/>
    <n v="37625"/>
    <n v="236"/>
    <s v="#FutureOfDriving"/>
    <s v="FSDUpdate"/>
    <n v="0.13599052880820836"/>
  </r>
  <r>
    <s v="P093"/>
    <x v="2"/>
    <d v="2024-12-11T00:00:00"/>
    <x v="5"/>
    <s v="Check out our latest video on instagram!"/>
    <n v="1431"/>
    <n v="951"/>
    <n v="26"/>
    <n v="8586"/>
    <n v="8396"/>
    <n v="150"/>
    <s v="#EVRevolution"/>
    <s v="FSDUpdate"/>
    <n v="0.28045655718611695"/>
  </r>
  <r>
    <s v="P094"/>
    <x v="2"/>
    <d v="2024-11-07T00:00:00"/>
    <x v="4"/>
    <s v="Check out our latest image on instagram!"/>
    <n v="2647"/>
    <n v="304"/>
    <n v="170"/>
    <n v="18529"/>
    <n v="17841"/>
    <n v="46"/>
    <s v="#FutureOfDriving"/>
    <s v="FSDUpdate"/>
    <n v="0.16843866371633656"/>
  </r>
  <r>
    <s v="P095"/>
    <x v="2"/>
    <d v="2024-11-08T00:00:00"/>
    <x v="1"/>
    <s v="Check out our latest text on instagram!"/>
    <n v="3182"/>
    <n v="559"/>
    <n v="160"/>
    <n v="57276"/>
    <n v="56890"/>
    <n v="163"/>
    <s v="#FutureOfDriving"/>
    <s v="SustainabilityDrive"/>
    <n v="6.8108806480899509E-2"/>
  </r>
  <r>
    <s v="P096"/>
    <x v="0"/>
    <d v="2024-09-10T00:00:00"/>
    <x v="4"/>
    <s v="Check out our latest image on twitter!"/>
    <n v="1238"/>
    <n v="366"/>
    <n v="444"/>
    <n v="19808"/>
    <n v="19334"/>
    <n v="123"/>
    <s v="#FutureOfDriving"/>
    <m/>
    <n v="0.10339256865912763"/>
  </r>
  <r>
    <s v="P097"/>
    <x v="2"/>
    <d v="2024-08-13T00:00:00"/>
    <x v="4"/>
    <s v="Check out our latest image on instagram!"/>
    <n v="4739"/>
    <n v="527"/>
    <n v="135"/>
    <n v="61607"/>
    <n v="61333"/>
    <n v="36"/>
    <s v="#TeslaCoInnovation"/>
    <s v="ModelYCampaign"/>
    <n v="8.7668609086629767E-2"/>
  </r>
  <r>
    <s v="P097"/>
    <x v="2"/>
    <d v="2024-08-13T00:00:00"/>
    <x v="4"/>
    <s v="Check out our latest image on instagram!"/>
    <n v="4739"/>
    <n v="527"/>
    <n v="135"/>
    <n v="61607"/>
    <n v="61333"/>
    <n v="36"/>
    <s v="#AnytimeIsTeslaTime"/>
    <s v="ModelYCampaign"/>
    <n v="8.7668609086629767E-2"/>
  </r>
  <r>
    <s v="P098"/>
    <x v="0"/>
    <d v="2024-06-10T00:00:00"/>
    <x v="2"/>
    <s v="Check out our latest story on twitter!"/>
    <n v="1575"/>
    <n v="771"/>
    <n v="486"/>
    <n v="25200"/>
    <n v="24826"/>
    <n v="17"/>
    <s v="#FutureOfDriving"/>
    <s v="SustainabilityDrive"/>
    <n v="0.11238095238095239"/>
  </r>
  <r>
    <s v="P099"/>
    <x v="1"/>
    <d v="2024-07-02T00:00:00"/>
    <x v="3"/>
    <s v="Check out our latest carousel on youtube!"/>
    <n v="4171"/>
    <n v="548"/>
    <n v="86"/>
    <n v="66736"/>
    <n v="66634"/>
    <n v="173"/>
    <s v="#FutureOfDriving"/>
    <s v="FSDUpdate"/>
    <n v="7.2000119875329657E-2"/>
  </r>
  <r>
    <s v="P100"/>
    <x v="1"/>
    <d v="2025-02-10T00:00:00"/>
    <x v="5"/>
    <s v="Check out our latest video on youtube!"/>
    <n v="1766"/>
    <n v="92"/>
    <n v="424"/>
    <n v="24724"/>
    <n v="24333"/>
    <n v="52"/>
    <s v="#EVRevolution"/>
    <m/>
    <n v="9.2298980747451867E-2"/>
  </r>
  <r>
    <s v="P101"/>
    <x v="1"/>
    <d v="2024-10-18T00:00:00"/>
    <x v="5"/>
    <s v="Check out our latest video on youtube!"/>
    <n v="4450"/>
    <n v="983"/>
    <n v="143"/>
    <n v="75650"/>
    <n v="75008"/>
    <n v="12"/>
    <s v="#FutureOfDriving"/>
    <s v="FSDUpdate"/>
    <n v="7.3707865168539333E-2"/>
  </r>
  <r>
    <s v="P102"/>
    <x v="0"/>
    <d v="2024-09-18T00:00:00"/>
    <x v="0"/>
    <s v="Check out our latest reel on twitter!"/>
    <n v="1000"/>
    <n v="978"/>
    <n v="162"/>
    <n v="6000"/>
    <n v="5221"/>
    <n v="223"/>
    <s v="#EVRevolution"/>
    <s v="ModelYCampaign"/>
    <n v="0.35666666666666669"/>
  </r>
  <r>
    <s v="P103"/>
    <x v="3"/>
    <d v="2024-06-11T00:00:00"/>
    <x v="4"/>
    <s v="Check out our latest image on facebook!"/>
    <n v="3689"/>
    <n v="48"/>
    <n v="306"/>
    <n v="40579"/>
    <n v="39588"/>
    <n v="212"/>
    <s v="#EVRevolution"/>
    <s v="ModelYCampaign"/>
    <n v="9.9632815002833983E-2"/>
  </r>
  <r>
    <s v="P104"/>
    <x v="1"/>
    <d v="2025-03-23T00:00:00"/>
    <x v="2"/>
    <s v="Check out our latest story on youtube!"/>
    <n v="3655"/>
    <n v="568"/>
    <n v="286"/>
    <n v="32895"/>
    <n v="32015"/>
    <n v="199"/>
    <s v="#TeslaCoInnovation"/>
    <s v="FSDUpdate"/>
    <n v="0.13707250341997265"/>
  </r>
  <r>
    <s v="P105"/>
    <x v="2"/>
    <d v="2024-06-14T00:00:00"/>
    <x v="3"/>
    <s v="Check out our latest carousel on instagram!"/>
    <n v="498"/>
    <n v="38"/>
    <n v="42"/>
    <n v="4482"/>
    <n v="3647"/>
    <n v="32"/>
    <s v="#FutureOfDriving"/>
    <s v="CybertruckLaunch"/>
    <n v="0.12896028558679162"/>
  </r>
  <r>
    <s v="P106"/>
    <x v="2"/>
    <d v="2025-02-04T00:00:00"/>
    <x v="4"/>
    <s v="Check out our latest image on instagram!"/>
    <n v="4619"/>
    <n v="821"/>
    <n v="499"/>
    <n v="69285"/>
    <n v="69141"/>
    <n v="298"/>
    <s v="#TeslaCoInnovation"/>
    <s v="SustainabilityDrive"/>
    <n v="8.5718409468138843E-2"/>
  </r>
  <r>
    <s v="P107"/>
    <x v="1"/>
    <d v="2024-06-21T00:00:00"/>
    <x v="4"/>
    <s v="Check out our latest image on youtube!"/>
    <n v="4832"/>
    <n v="893"/>
    <n v="10"/>
    <n v="91808"/>
    <n v="91296"/>
    <n v="182"/>
    <s v="#TeslaCoInnovation"/>
    <m/>
    <n v="6.2467323109097243E-2"/>
  </r>
  <r>
    <s v="P108"/>
    <x v="0"/>
    <d v="2025-03-25T00:00:00"/>
    <x v="5"/>
    <s v="Check out our latest video on twitter!"/>
    <n v="4050"/>
    <n v="871"/>
    <n v="347"/>
    <n v="52650"/>
    <n v="51755"/>
    <n v="209"/>
    <s v="#TeslaCoInnovation"/>
    <s v="ModelYCampaign"/>
    <n v="0.10005698005698006"/>
  </r>
  <r>
    <s v="P109"/>
    <x v="0"/>
    <d v="2024-08-08T00:00:00"/>
    <x v="2"/>
    <s v="Check out our latest story on twitter!"/>
    <n v="3649"/>
    <n v="215"/>
    <n v="413"/>
    <n v="25543"/>
    <n v="24963"/>
    <n v="167"/>
    <s v="#FutureOfDriving"/>
    <s v="FSDUpdate"/>
    <n v="0.16744313510550835"/>
  </r>
  <r>
    <s v="P110"/>
    <x v="2"/>
    <d v="2024-07-29T00:00:00"/>
    <x v="0"/>
    <s v="Check out our latest reel on instagram!"/>
    <n v="3523"/>
    <n v="753"/>
    <n v="482"/>
    <n v="38753"/>
    <n v="38579"/>
    <n v="270"/>
    <s v="#EVRevolution"/>
    <s v="ModelYCampaign"/>
    <n v="0.12277759141227776"/>
  </r>
  <r>
    <s v="P111"/>
    <x v="1"/>
    <d v="2024-11-23T00:00:00"/>
    <x v="4"/>
    <s v="Check out our latest image on youtube!"/>
    <n v="2719"/>
    <n v="17"/>
    <n v="285"/>
    <n v="40785"/>
    <n v="40281"/>
    <n v="40"/>
    <s v="#TeslaCoInnovation"/>
    <s v="ModelYCampaign"/>
    <n v="7.4071349760941527E-2"/>
  </r>
  <r>
    <s v="P112"/>
    <x v="0"/>
    <d v="2024-10-05T00:00:00"/>
    <x v="2"/>
    <s v="Check out our latest story on twitter!"/>
    <n v="1957"/>
    <n v="877"/>
    <n v="238"/>
    <n v="17613"/>
    <n v="16865"/>
    <n v="297"/>
    <s v="#FutureOfDriving"/>
    <s v="FSDUpdate"/>
    <n v="0.17441662408448305"/>
  </r>
  <r>
    <s v="P113"/>
    <x v="0"/>
    <d v="2024-10-02T00:00:00"/>
    <x v="3"/>
    <s v="Check out our latest carousel on twitter!"/>
    <n v="4419"/>
    <n v="236"/>
    <n v="369"/>
    <n v="44190"/>
    <n v="43582"/>
    <n v="10"/>
    <s v="#EVRevolution"/>
    <s v="CybertruckLaunch"/>
    <n v="0.11369088028965829"/>
  </r>
  <r>
    <s v="P114"/>
    <x v="0"/>
    <d v="2024-11-14T00:00:00"/>
    <x v="2"/>
    <s v="Check out our latest story on twitter!"/>
    <n v="4000"/>
    <n v="689"/>
    <n v="488"/>
    <n v="40000"/>
    <n v="39569"/>
    <n v="44"/>
    <s v="#FutureOfDriving"/>
    <s v="CybertruckLaunch"/>
    <n v="0.12942500000000001"/>
  </r>
  <r>
    <s v="P115"/>
    <x v="0"/>
    <d v="2025-05-11T00:00:00"/>
    <x v="4"/>
    <s v="Check out our latest image on twitter!"/>
    <n v="2493"/>
    <n v="97"/>
    <n v="44"/>
    <n v="42381"/>
    <n v="41991"/>
    <n v="242"/>
    <s v="#TeslaCoInnovation"/>
    <s v="SustainabilityDrive"/>
    <n v="6.2150491965739366E-2"/>
  </r>
  <r>
    <s v="P115"/>
    <x v="0"/>
    <d v="2025-05-11T00:00:00"/>
    <x v="4"/>
    <s v="Check out our latest image on twitter!"/>
    <n v="2493"/>
    <n v="97"/>
    <n v="44"/>
    <n v="42381"/>
    <n v="41991"/>
    <n v="242"/>
    <s v="#AnytimeIsTeslaTime"/>
    <s v="SustainabilityDrive"/>
    <n v="6.2150491965739366E-2"/>
  </r>
  <r>
    <s v="P116"/>
    <x v="1"/>
    <d v="2025-03-18T00:00:00"/>
    <x v="0"/>
    <s v="Check out our latest reel on youtube!"/>
    <n v="3704"/>
    <n v="186"/>
    <n v="458"/>
    <n v="25928"/>
    <n v="25081"/>
    <n v="131"/>
    <s v="#TeslaCoInnovation"/>
    <m/>
    <n v="0.16769515581610614"/>
  </r>
  <r>
    <s v="P117"/>
    <x v="0"/>
    <d v="2024-11-04T00:00:00"/>
    <x v="4"/>
    <s v="Check out our latest image on twitter!"/>
    <n v="1606"/>
    <n v="451"/>
    <n v="405"/>
    <n v="20878"/>
    <n v="20190"/>
    <n v="219"/>
    <s v="#EVRevolution"/>
    <s v="SustainabilityDrive"/>
    <n v="0.11792317271769326"/>
  </r>
  <r>
    <s v="P118"/>
    <x v="3"/>
    <d v="2024-11-04T00:00:00"/>
    <x v="4"/>
    <s v="Check out our latest image on facebook!"/>
    <n v="4551"/>
    <n v="714"/>
    <n v="207"/>
    <n v="68265"/>
    <n v="67754"/>
    <n v="57"/>
    <s v="#FutureOfDriving"/>
    <s v="FSDUpdate"/>
    <n v="8.0158206987475278E-2"/>
  </r>
  <r>
    <s v="P119"/>
    <x v="2"/>
    <d v="2025-02-07T00:00:00"/>
    <x v="0"/>
    <s v="Check out our latest reel on instagram!"/>
    <n v="1970"/>
    <n v="675"/>
    <n v="478"/>
    <n v="9850"/>
    <n v="8924"/>
    <n v="117"/>
    <s v="#FutureOfDriving"/>
    <m/>
    <n v="0.31705583756345179"/>
  </r>
  <r>
    <s v="P120"/>
    <x v="3"/>
    <d v="2024-10-21T00:00:00"/>
    <x v="2"/>
    <s v="Check out our latest story on facebook!"/>
    <n v="780"/>
    <n v="928"/>
    <n v="301"/>
    <n v="8580"/>
    <n v="8081"/>
    <n v="91"/>
    <s v="#EVRevolution"/>
    <s v="FSDUpdate"/>
    <n v="0.23414918414918415"/>
  </r>
  <r>
    <s v="P121"/>
    <x v="2"/>
    <d v="2024-07-29T00:00:00"/>
    <x v="2"/>
    <s v="Check out our latest story on instagram!"/>
    <n v="498"/>
    <n v="701"/>
    <n v="412"/>
    <n v="4980"/>
    <n v="4185"/>
    <n v="185"/>
    <s v="#FutureOfDriving"/>
    <m/>
    <n v="0.32349397590361445"/>
  </r>
  <r>
    <s v="P122"/>
    <x v="2"/>
    <d v="2024-10-02T00:00:00"/>
    <x v="1"/>
    <s v="Check out our latest text on instagram!"/>
    <n v="3432"/>
    <n v="869"/>
    <n v="123"/>
    <n v="54912"/>
    <n v="53916"/>
    <n v="264"/>
    <s v="#EVRevolution"/>
    <s v="ModelYCampaign"/>
    <n v="8.0565268065268064E-2"/>
  </r>
  <r>
    <s v="P123"/>
    <x v="2"/>
    <d v="2024-06-14T00:00:00"/>
    <x v="2"/>
    <s v="Check out our latest story on instagram!"/>
    <n v="4363"/>
    <n v="649"/>
    <n v="140"/>
    <n v="21815"/>
    <n v="21481"/>
    <n v="157"/>
    <s v="#EVRevolution"/>
    <s v="CybertruckLaunch"/>
    <n v="0.23616777446710979"/>
  </r>
  <r>
    <s v="P124"/>
    <x v="1"/>
    <d v="2025-04-06T00:00:00"/>
    <x v="3"/>
    <s v="Check out our latest carousel on youtube!"/>
    <n v="736"/>
    <n v="771"/>
    <n v="225"/>
    <n v="5152"/>
    <n v="4706"/>
    <n v="19"/>
    <s v="#EVRevolution"/>
    <s v="CybertruckLaunch"/>
    <n v="0.33618012422360249"/>
  </r>
  <r>
    <s v="P125"/>
    <x v="0"/>
    <d v="2024-09-08T00:00:00"/>
    <x v="3"/>
    <s v="Check out our latest carousel on twitter!"/>
    <n v="3811"/>
    <n v="866"/>
    <n v="216"/>
    <n v="34299"/>
    <n v="34088"/>
    <n v="233"/>
    <s v="#TeslaCoInnovation"/>
    <s v="SustainabilityDrive"/>
    <n v="0.14265722032712325"/>
  </r>
  <r>
    <s v="P126"/>
    <x v="2"/>
    <d v="2025-03-28T00:00:00"/>
    <x v="3"/>
    <s v="Check out our latest carousel on instagram!"/>
    <n v="4158"/>
    <n v="167"/>
    <n v="241"/>
    <n v="45738"/>
    <n v="45183"/>
    <n v="142"/>
    <s v="#FutureOfDriving"/>
    <m/>
    <n v="9.9829463465827106E-2"/>
  </r>
  <r>
    <s v="P127"/>
    <x v="3"/>
    <d v="2025-01-27T00:00:00"/>
    <x v="0"/>
    <s v="Check out our latest reel on facebook!"/>
    <n v="3452"/>
    <n v="652"/>
    <n v="442"/>
    <n v="65588"/>
    <n v="65049"/>
    <n v="158"/>
    <s v="#FutureOfDriving"/>
    <s v="FSDUpdate"/>
    <n v="6.9311459413307311E-2"/>
  </r>
  <r>
    <s v="P128"/>
    <x v="0"/>
    <d v="2025-01-10T00:00:00"/>
    <x v="4"/>
    <s v="Check out our latest image on twitter!"/>
    <n v="3092"/>
    <n v="106"/>
    <n v="291"/>
    <n v="27828"/>
    <n v="27217"/>
    <n v="102"/>
    <s v="#FutureOfDriving"/>
    <m/>
    <n v="0.12537731780940059"/>
  </r>
  <r>
    <s v="P129"/>
    <x v="0"/>
    <d v="2024-07-21T00:00:00"/>
    <x v="1"/>
    <s v="Check out our latest text on twitter!"/>
    <n v="2147"/>
    <n v="430"/>
    <n v="393"/>
    <n v="17176"/>
    <n v="16483"/>
    <n v="170"/>
    <s v="#TeslaCoInnovation"/>
    <m/>
    <n v="0.17291569632044715"/>
  </r>
  <r>
    <s v="P130"/>
    <x v="1"/>
    <d v="2024-09-29T00:00:00"/>
    <x v="0"/>
    <s v="Check out our latest reel on youtube!"/>
    <n v="2936"/>
    <n v="439"/>
    <n v="44"/>
    <n v="38168"/>
    <n v="37571"/>
    <n v="22"/>
    <s v="#EVRevolution"/>
    <s v="SustainabilityDrive"/>
    <n v="8.9577656675749323E-2"/>
  </r>
  <r>
    <s v="P131"/>
    <x v="2"/>
    <d v="2024-10-21T00:00:00"/>
    <x v="0"/>
    <s v="Check out our latest reel on instagram!"/>
    <n v="4840"/>
    <n v="658"/>
    <n v="211"/>
    <n v="43560"/>
    <n v="43225"/>
    <n v="57"/>
    <s v="#FutureOfDriving"/>
    <s v="FSDUpdate"/>
    <n v="0.13106060606060607"/>
  </r>
  <r>
    <s v="P132"/>
    <x v="2"/>
    <d v="2025-03-04T00:00:00"/>
    <x v="2"/>
    <s v="Check out our latest story on instagram!"/>
    <n v="1947"/>
    <n v="842"/>
    <n v="101"/>
    <n v="21417"/>
    <n v="20967"/>
    <n v="186"/>
    <s v="#FutureOfDriving"/>
    <s v="ModelYCampaign"/>
    <n v="0.13493953401503478"/>
  </r>
  <r>
    <s v="P133"/>
    <x v="3"/>
    <d v="2025-02-06T00:00:00"/>
    <x v="4"/>
    <s v="Check out our latest image on facebook!"/>
    <n v="2072"/>
    <n v="532"/>
    <n v="71"/>
    <n v="37296"/>
    <n v="36467"/>
    <n v="25"/>
    <s v="#TeslaCoInnovation"/>
    <s v="SustainabilityDrive"/>
    <n v="7.172350922350923E-2"/>
  </r>
  <r>
    <s v="P134"/>
    <x v="0"/>
    <d v="2025-04-24T00:00:00"/>
    <x v="0"/>
    <s v="Check out our latest reel on twitter!"/>
    <n v="3731"/>
    <n v="115"/>
    <n v="135"/>
    <n v="55965"/>
    <n v="55436"/>
    <n v="103"/>
    <s v="#TeslaCoInnovation"/>
    <s v="CybertruckLaunch"/>
    <n v="7.1133744304476013E-2"/>
  </r>
  <r>
    <s v="P135"/>
    <x v="3"/>
    <d v="2024-11-28T00:00:00"/>
    <x v="1"/>
    <s v="Check out our latest text on facebook!"/>
    <n v="4213"/>
    <n v="253"/>
    <n v="434"/>
    <n v="75834"/>
    <n v="75437"/>
    <n v="272"/>
    <s v="#FutureOfDriving"/>
    <s v="SustainabilityDrive"/>
    <n v="6.461481657304112E-2"/>
  </r>
  <r>
    <s v="P136"/>
    <x v="2"/>
    <d v="2024-07-11T00:00:00"/>
    <x v="1"/>
    <s v="Check out our latest text on instagram!"/>
    <n v="3134"/>
    <n v="888"/>
    <n v="444"/>
    <n v="21938"/>
    <n v="21337"/>
    <n v="130"/>
    <s v="#EVRevolution"/>
    <s v="SustainabilityDrive"/>
    <n v="0.20357370772176134"/>
  </r>
  <r>
    <s v="P137"/>
    <x v="3"/>
    <d v="2024-07-31T00:00:00"/>
    <x v="5"/>
    <s v="Check out our latest video on facebook!"/>
    <n v="3008"/>
    <n v="94"/>
    <n v="37"/>
    <n v="15040"/>
    <n v="14639"/>
    <n v="277"/>
    <s v="#FutureOfDriving"/>
    <m/>
    <n v="0.20871010638297871"/>
  </r>
  <r>
    <s v="P138"/>
    <x v="0"/>
    <d v="2025-03-29T00:00:00"/>
    <x v="4"/>
    <s v="Check out our latest image on twitter!"/>
    <n v="305"/>
    <n v="187"/>
    <n v="243"/>
    <n v="4575"/>
    <n v="3704"/>
    <n v="234"/>
    <s v="#FutureOfDriving"/>
    <s v="FSDUpdate"/>
    <n v="0.16065573770491803"/>
  </r>
  <r>
    <s v="P139"/>
    <x v="1"/>
    <d v="2024-10-29T00:00:00"/>
    <x v="1"/>
    <s v="Check out our latest text on youtube!"/>
    <n v="2746"/>
    <n v="156"/>
    <n v="203"/>
    <n v="32952"/>
    <n v="32147"/>
    <n v="147"/>
    <s v="#EVRevolution"/>
    <s v="CybertruckLaunch"/>
    <n v="9.422796795338674E-2"/>
  </r>
  <r>
    <s v="P140"/>
    <x v="3"/>
    <d v="2024-07-15T00:00:00"/>
    <x v="4"/>
    <s v="Check out our latest image on facebook!"/>
    <n v="2291"/>
    <n v="78"/>
    <n v="485"/>
    <n v="18328"/>
    <n v="18101"/>
    <n v="10"/>
    <s v="#EVRevolution"/>
    <s v="ModelYCampaign"/>
    <n v="0.15571802706241816"/>
  </r>
  <r>
    <s v="P140"/>
    <x v="3"/>
    <d v="2024-07-15T00:00:00"/>
    <x v="4"/>
    <s v="Check out our latest image on facebook!"/>
    <n v="2291"/>
    <n v="78"/>
    <n v="485"/>
    <n v="18328"/>
    <n v="18101"/>
    <n v="10"/>
    <s v="#SmoothLikeNitroTesla"/>
    <s v="ModelYCampaign"/>
    <n v="0.15571802706241816"/>
  </r>
  <r>
    <s v="P141"/>
    <x v="0"/>
    <d v="2024-08-31T00:00:00"/>
    <x v="4"/>
    <s v="Check out our latest image on twitter!"/>
    <n v="3170"/>
    <n v="857"/>
    <n v="379"/>
    <n v="19020"/>
    <n v="18559"/>
    <n v="240"/>
    <s v="#FutureOfDriving"/>
    <m/>
    <n v="0.2316508937960042"/>
  </r>
  <r>
    <s v="P142"/>
    <x v="1"/>
    <d v="2025-03-25T00:00:00"/>
    <x v="2"/>
    <s v="Check out our latest story on youtube!"/>
    <n v="2070"/>
    <n v="275"/>
    <n v="386"/>
    <n v="39330"/>
    <n v="38627"/>
    <n v="114"/>
    <s v="#FutureOfDriving"/>
    <s v="SustainabilityDrive"/>
    <n v="6.9438087973557078E-2"/>
  </r>
  <r>
    <s v="P143"/>
    <x v="1"/>
    <d v="2024-10-02T00:00:00"/>
    <x v="3"/>
    <s v="Check out our latest carousel on youtube!"/>
    <n v="80"/>
    <n v="362"/>
    <n v="80"/>
    <n v="1040"/>
    <n v="349"/>
    <n v="117"/>
    <s v="#TeslaCoInnovation"/>
    <s v="FSDUpdate"/>
    <n v="0.50192307692307692"/>
  </r>
  <r>
    <s v="P144"/>
    <x v="1"/>
    <d v="2024-10-28T00:00:00"/>
    <x v="2"/>
    <s v="Check out our latest story on youtube!"/>
    <n v="4929"/>
    <n v="749"/>
    <n v="452"/>
    <n v="93651"/>
    <n v="92810"/>
    <n v="66"/>
    <s v="#EVRevolution"/>
    <s v="SustainabilityDrive"/>
    <n v="6.5455787978772245E-2"/>
  </r>
  <r>
    <s v="P145"/>
    <x v="2"/>
    <d v="2024-08-12T00:00:00"/>
    <x v="3"/>
    <s v="Check out our latest carousel on instagram!"/>
    <n v="1878"/>
    <n v="62"/>
    <n v="179"/>
    <n v="37560"/>
    <n v="36874"/>
    <n v="142"/>
    <s v="#TeslaCoInnovation"/>
    <s v="SustainabilityDrive"/>
    <n v="5.6416400425985093E-2"/>
  </r>
  <r>
    <s v="P146"/>
    <x v="1"/>
    <d v="2024-06-05T00:00:00"/>
    <x v="0"/>
    <s v="Check out our latest reel on youtube!"/>
    <n v="3065"/>
    <n v="772"/>
    <n v="142"/>
    <n v="18390"/>
    <n v="17875"/>
    <n v="200"/>
    <s v="#EVRevolution"/>
    <m/>
    <n v="0.21636759108210984"/>
  </r>
  <r>
    <s v="P146"/>
    <x v="1"/>
    <d v="2024-06-05T00:00:00"/>
    <x v="0"/>
    <s v="Check out our latest reel on youtube!"/>
    <n v="3065"/>
    <n v="772"/>
    <n v="142"/>
    <n v="18390"/>
    <n v="17875"/>
    <n v="200"/>
    <s v="#AnytimeIsTeslaTime"/>
    <m/>
    <n v="0.21636759108210984"/>
  </r>
  <r>
    <s v="P147"/>
    <x v="2"/>
    <d v="2024-10-21T00:00:00"/>
    <x v="0"/>
    <s v="Check out our latest reel on instagram!"/>
    <n v="3256"/>
    <n v="459"/>
    <n v="266"/>
    <n v="26048"/>
    <n v="25529"/>
    <n v="143"/>
    <s v="#TeslaCoInnovation"/>
    <s v="ModelYCampaign"/>
    <n v="0.15283323095823095"/>
  </r>
  <r>
    <s v="P148"/>
    <x v="2"/>
    <d v="2025-04-15T00:00:00"/>
    <x v="5"/>
    <s v="Check out our latest video on instagram!"/>
    <n v="4133"/>
    <n v="466"/>
    <n v="327"/>
    <n v="24798"/>
    <n v="24620"/>
    <n v="176"/>
    <s v="#EVRevolution"/>
    <s v="SustainabilityDrive"/>
    <n v="0.19864505202032423"/>
  </r>
  <r>
    <s v="P149"/>
    <x v="0"/>
    <d v="2024-06-16T00:00:00"/>
    <x v="5"/>
    <s v="Check out our latest video on twitter!"/>
    <n v="1702"/>
    <n v="750"/>
    <n v="179"/>
    <n v="34040"/>
    <n v="33174"/>
    <n v="76"/>
    <s v="#EVRevolution"/>
    <s v="CybertruckLaunch"/>
    <n v="7.7291421856639245E-2"/>
  </r>
  <r>
    <s v="P150"/>
    <x v="1"/>
    <d v="2024-08-22T00:00:00"/>
    <x v="3"/>
    <s v="Check out our latest carousel on youtube!"/>
    <n v="4295"/>
    <n v="853"/>
    <n v="325"/>
    <n v="85900"/>
    <n v="85788"/>
    <n v="290"/>
    <s v="#TeslaCoInnovation"/>
    <s v="SustainabilityDrive"/>
    <n v="6.3713620488940623E-2"/>
  </r>
  <r>
    <s v="P151"/>
    <x v="2"/>
    <d v="2024-07-26T00:00:00"/>
    <x v="4"/>
    <s v="Check out our latest image on instagram!"/>
    <n v="3559"/>
    <n v="59"/>
    <n v="289"/>
    <n v="35590"/>
    <n v="35105"/>
    <n v="122"/>
    <s v="#EVRevolution"/>
    <s v="CybertruckLaunch"/>
    <n v="0.10977802753582468"/>
  </r>
  <r>
    <s v="P152"/>
    <x v="3"/>
    <d v="2025-04-22T00:00:00"/>
    <x v="4"/>
    <s v="Check out our latest image on facebook!"/>
    <n v="4804"/>
    <n v="550"/>
    <n v="270"/>
    <n v="28824"/>
    <n v="28370"/>
    <n v="47"/>
    <s v="#EVRevolution"/>
    <s v="SustainabilityDrive"/>
    <n v="0.19511518179295032"/>
  </r>
  <r>
    <s v="P153"/>
    <x v="0"/>
    <d v="2025-01-01T00:00:00"/>
    <x v="5"/>
    <s v="Check out our latest video on twitter!"/>
    <n v="754"/>
    <n v="197"/>
    <n v="257"/>
    <n v="6786"/>
    <n v="6221"/>
    <n v="212"/>
    <s v="#TeslaCoInnovation"/>
    <s v="FSDUpdate"/>
    <n v="0.17801355732390214"/>
  </r>
  <r>
    <s v="P154"/>
    <x v="2"/>
    <d v="2024-10-09T00:00:00"/>
    <x v="3"/>
    <s v="Check out our latest carousel on instagram!"/>
    <n v="985"/>
    <n v="932"/>
    <n v="287"/>
    <n v="6895"/>
    <n v="6757"/>
    <n v="64"/>
    <s v="#FutureOfDriving"/>
    <s v="SustainabilityDrive"/>
    <n v="0.31965192168237855"/>
  </r>
  <r>
    <s v="P155"/>
    <x v="1"/>
    <d v="2024-12-21T00:00:00"/>
    <x v="4"/>
    <s v="Check out our latest image on youtube!"/>
    <n v="2283"/>
    <n v="210"/>
    <n v="130"/>
    <n v="22830"/>
    <n v="22617"/>
    <n v="143"/>
    <s v="#FutureOfDriving"/>
    <s v="ModelYCampaign"/>
    <n v="0.11489268506351293"/>
  </r>
  <r>
    <s v="P156"/>
    <x v="3"/>
    <d v="2024-10-22T00:00:00"/>
    <x v="3"/>
    <s v="Check out our latest carousel on facebook!"/>
    <n v="3352"/>
    <n v="941"/>
    <n v="482"/>
    <n v="43576"/>
    <n v="43338"/>
    <n v="240"/>
    <s v="#FutureOfDriving"/>
    <s v="ModelYCampaign"/>
    <n v="0.1095786671562328"/>
  </r>
  <r>
    <s v="P157"/>
    <x v="1"/>
    <d v="2024-07-23T00:00:00"/>
    <x v="2"/>
    <s v="Check out our latest story on youtube!"/>
    <n v="4775"/>
    <n v="173"/>
    <n v="206"/>
    <n v="47750"/>
    <n v="47544"/>
    <n v="187"/>
    <s v="#FutureOfDriving"/>
    <s v="ModelYCampaign"/>
    <n v="0.10793717277486911"/>
  </r>
  <r>
    <s v="P158"/>
    <x v="2"/>
    <d v="2024-08-11T00:00:00"/>
    <x v="2"/>
    <s v="Check out our latest story on instagram!"/>
    <n v="1762"/>
    <n v="405"/>
    <n v="423"/>
    <n v="22906"/>
    <n v="21925"/>
    <n v="25"/>
    <s v="#TeslaCoInnovation"/>
    <s v="CybertruckLaunch"/>
    <n v="0.11307081114118571"/>
  </r>
  <r>
    <s v="P159"/>
    <x v="3"/>
    <d v="2024-11-25T00:00:00"/>
    <x v="2"/>
    <s v="Check out our latest story on facebook!"/>
    <n v="2120"/>
    <n v="158"/>
    <n v="488"/>
    <n v="12720"/>
    <n v="12085"/>
    <n v="17"/>
    <s v="#FutureOfDriving"/>
    <s v="ModelYCampaign"/>
    <n v="0.21745283018867925"/>
  </r>
  <r>
    <s v="P160"/>
    <x v="0"/>
    <d v="2024-08-24T00:00:00"/>
    <x v="5"/>
    <s v="Check out our latest video on twitter!"/>
    <n v="1082"/>
    <n v="209"/>
    <n v="484"/>
    <n v="19476"/>
    <n v="18654"/>
    <n v="20"/>
    <s v="#TeslaCoInnovation"/>
    <m/>
    <n v="9.1137810638734856E-2"/>
  </r>
  <r>
    <s v="P161"/>
    <x v="0"/>
    <d v="2025-02-19T00:00:00"/>
    <x v="1"/>
    <s v="Check out our latest text on twitter!"/>
    <n v="4671"/>
    <n v="876"/>
    <n v="366"/>
    <n v="51381"/>
    <n v="50565"/>
    <n v="245"/>
    <s v="#TeslaCoInnovation"/>
    <s v="SustainabilityDrive"/>
    <n v="0.11508145034156594"/>
  </r>
  <r>
    <s v="P162"/>
    <x v="3"/>
    <d v="2025-04-01T00:00:00"/>
    <x v="2"/>
    <s v="Check out our latest story on facebook!"/>
    <n v="3430"/>
    <n v="566"/>
    <n v="164"/>
    <n v="48020"/>
    <n v="47305"/>
    <n v="120"/>
    <s v="#FutureOfDriving"/>
    <m/>
    <n v="8.6630570595585168E-2"/>
  </r>
  <r>
    <s v="P163"/>
    <x v="2"/>
    <d v="2025-04-08T00:00:00"/>
    <x v="4"/>
    <s v="Check out our latest image on instagram!"/>
    <n v="4501"/>
    <n v="375"/>
    <n v="323"/>
    <n v="22505"/>
    <n v="21836"/>
    <n v="132"/>
    <s v="#TeslaCoInnovation"/>
    <s v="ModelYCampaign"/>
    <n v="0.23101532992668297"/>
  </r>
  <r>
    <s v="P164"/>
    <x v="1"/>
    <d v="2025-02-27T00:00:00"/>
    <x v="1"/>
    <s v="Check out our latest text on youtube!"/>
    <n v="4934"/>
    <n v="971"/>
    <n v="156"/>
    <n v="39472"/>
    <n v="39025"/>
    <n v="169"/>
    <s v="#TeslaCoInnovation"/>
    <s v="SustainabilityDrive"/>
    <n v="0.15355188488042157"/>
  </r>
  <r>
    <s v="P164"/>
    <x v="1"/>
    <d v="2025-02-27T00:00:00"/>
    <x v="1"/>
    <s v="Check out our latest text on youtube!"/>
    <n v="4934"/>
    <n v="971"/>
    <n v="156"/>
    <n v="39472"/>
    <n v="39025"/>
    <n v="169"/>
    <s v="#AnytimeIsTeslaTime"/>
    <s v="SustainabilityDrive"/>
    <n v="0.15355188488042157"/>
  </r>
  <r>
    <s v="P165"/>
    <x v="0"/>
    <d v="2024-12-11T00:00:00"/>
    <x v="1"/>
    <s v="Check out our latest text on twitter!"/>
    <n v="3239"/>
    <n v="43"/>
    <n v="211"/>
    <n v="22673"/>
    <n v="22171"/>
    <n v="230"/>
    <s v="#TeslaCoInnovation"/>
    <s v="ModelYCampaign"/>
    <n v="0.15405989502933004"/>
  </r>
  <r>
    <s v="P166"/>
    <x v="0"/>
    <d v="2025-02-16T00:00:00"/>
    <x v="0"/>
    <s v="Check out our latest reel on twitter!"/>
    <n v="1076"/>
    <n v="313"/>
    <n v="306"/>
    <n v="11836"/>
    <n v="11596"/>
    <n v="104"/>
    <s v="#FutureOfDriving"/>
    <s v="CybertruckLaunch"/>
    <n v="0.14320716458262928"/>
  </r>
  <r>
    <s v="P167"/>
    <x v="2"/>
    <d v="2024-11-28T00:00:00"/>
    <x v="1"/>
    <s v="Check out our latest text on instagram!"/>
    <n v="4771"/>
    <n v="818"/>
    <n v="56"/>
    <n v="57252"/>
    <n v="56378"/>
    <n v="150"/>
    <s v="#FutureOfDriving"/>
    <m/>
    <n v="9.859917557465242E-2"/>
  </r>
  <r>
    <s v="P168"/>
    <x v="3"/>
    <d v="2024-11-12T00:00:00"/>
    <x v="1"/>
    <s v="Check out our latest text on facebook!"/>
    <n v="2418"/>
    <n v="754"/>
    <n v="54"/>
    <n v="43524"/>
    <n v="42743"/>
    <n v="182"/>
    <s v="#EVRevolution"/>
    <s v="CybertruckLaunch"/>
    <n v="7.412002573292896E-2"/>
  </r>
  <r>
    <s v="P169"/>
    <x v="1"/>
    <d v="2024-12-03T00:00:00"/>
    <x v="5"/>
    <s v="Check out our latest video on youtube!"/>
    <n v="3809"/>
    <n v="273"/>
    <n v="200"/>
    <n v="34281"/>
    <n v="33534"/>
    <n v="83"/>
    <s v="#EVRevolution"/>
    <s v="CybertruckLaunch"/>
    <n v="0.12490884163239112"/>
  </r>
  <r>
    <s v="P170"/>
    <x v="0"/>
    <d v="2025-04-28T00:00:00"/>
    <x v="1"/>
    <s v="Check out our latest text on twitter!"/>
    <n v="3577"/>
    <n v="596"/>
    <n v="493"/>
    <n v="67963"/>
    <n v="67839"/>
    <n v="53"/>
    <s v="#TeslaCoInnovation"/>
    <s v="FSDUpdate"/>
    <n v="6.8655003457763777E-2"/>
  </r>
  <r>
    <s v="P171"/>
    <x v="1"/>
    <d v="2024-12-31T00:00:00"/>
    <x v="5"/>
    <s v="Check out our latest video on youtube!"/>
    <n v="1018"/>
    <n v="447"/>
    <n v="332"/>
    <n v="18324"/>
    <n v="18164"/>
    <n v="38"/>
    <s v="#FutureOfDriving"/>
    <s v="ModelYCampaign"/>
    <n v="9.8068107400130972E-2"/>
  </r>
  <r>
    <s v="P172"/>
    <x v="3"/>
    <d v="2024-08-14T00:00:00"/>
    <x v="3"/>
    <s v="Check out our latest carousel on facebook!"/>
    <n v="3073"/>
    <n v="553"/>
    <n v="174"/>
    <n v="52241"/>
    <n v="51605"/>
    <n v="246"/>
    <s v="#EVRevolution"/>
    <s v="FSDUpdate"/>
    <n v="7.2739802071170159E-2"/>
  </r>
  <r>
    <s v="P173"/>
    <x v="0"/>
    <d v="2024-12-05T00:00:00"/>
    <x v="5"/>
    <s v="Check out our latest video on twitter!"/>
    <n v="1330"/>
    <n v="925"/>
    <n v="35"/>
    <n v="15960"/>
    <n v="15379"/>
    <n v="229"/>
    <s v="#FutureOfDriving"/>
    <s v="FSDUpdate"/>
    <n v="0.14348370927318296"/>
  </r>
  <r>
    <s v="P174"/>
    <x v="3"/>
    <d v="2024-06-22T00:00:00"/>
    <x v="1"/>
    <s v="Check out our latest text on facebook!"/>
    <n v="3828"/>
    <n v="148"/>
    <n v="253"/>
    <n v="30624"/>
    <n v="30229"/>
    <n v="235"/>
    <s v="#EVRevolution"/>
    <m/>
    <n v="0.13809430512016718"/>
  </r>
  <r>
    <s v="P175"/>
    <x v="2"/>
    <d v="2025-01-17T00:00:00"/>
    <x v="0"/>
    <s v="Check out our latest reel on instagram!"/>
    <n v="142"/>
    <n v="784"/>
    <n v="183"/>
    <n v="1704"/>
    <n v="995"/>
    <n v="154"/>
    <s v="#FutureOfDriving"/>
    <s v="SustainabilityDrive"/>
    <n v="0.6508215962441315"/>
  </r>
  <r>
    <s v="P176"/>
    <x v="3"/>
    <d v="2024-06-20T00:00:00"/>
    <x v="5"/>
    <s v="Check out our latest video on facebook!"/>
    <n v="3798"/>
    <n v="31"/>
    <n v="279"/>
    <n v="75960"/>
    <n v="75813"/>
    <n v="266"/>
    <s v="#TeslaCoInnovation"/>
    <s v="CybertruckLaunch"/>
    <n v="5.4081095313322801E-2"/>
  </r>
  <r>
    <s v="P177"/>
    <x v="2"/>
    <d v="2024-07-10T00:00:00"/>
    <x v="3"/>
    <s v="Check out our latest carousel on instagram!"/>
    <n v="3099"/>
    <n v="694"/>
    <n v="171"/>
    <n v="43386"/>
    <n v="42921"/>
    <n v="52"/>
    <s v="#TeslaCoInnovation"/>
    <s v="FSDUpdate"/>
    <n v="9.1365878393951966E-2"/>
  </r>
  <r>
    <s v="P178"/>
    <x v="2"/>
    <d v="2024-11-07T00:00:00"/>
    <x v="5"/>
    <s v="Check out our latest video on instagram!"/>
    <n v="129"/>
    <n v="643"/>
    <n v="136"/>
    <n v="1290"/>
    <n v="839"/>
    <n v="238"/>
    <s v="#TeslaCoInnovation"/>
    <s v="SustainabilityDrive"/>
    <n v="0.70387596899224802"/>
  </r>
  <r>
    <s v="P179"/>
    <x v="3"/>
    <d v="2024-07-15T00:00:00"/>
    <x v="3"/>
    <s v="Check out our latest carousel on facebook!"/>
    <n v="3796"/>
    <n v="667"/>
    <n v="395"/>
    <n v="64532"/>
    <n v="63550"/>
    <n v="292"/>
    <s v="#TeslaCoInnovation"/>
    <m/>
    <n v="7.5280481001673588E-2"/>
  </r>
  <r>
    <s v="P180"/>
    <x v="1"/>
    <d v="2024-12-03T00:00:00"/>
    <x v="1"/>
    <s v="Check out our latest text on youtube!"/>
    <n v="3711"/>
    <n v="352"/>
    <n v="290"/>
    <n v="48243"/>
    <n v="47579"/>
    <n v="11"/>
    <s v="#TeslaCoInnovation"/>
    <s v="CybertruckLaunch"/>
    <n v="9.023070704558174E-2"/>
  </r>
  <r>
    <s v="P181"/>
    <x v="1"/>
    <d v="2025-03-21T00:00:00"/>
    <x v="4"/>
    <s v="Check out our latest image on youtube!"/>
    <n v="606"/>
    <n v="789"/>
    <n v="470"/>
    <n v="7878"/>
    <n v="7389"/>
    <n v="239"/>
    <s v="#EVRevolution"/>
    <s v="FSDUpdate"/>
    <n v="0.23673521198273673"/>
  </r>
  <r>
    <s v="P182"/>
    <x v="3"/>
    <d v="2024-07-31T00:00:00"/>
    <x v="4"/>
    <s v="Check out our latest image on facebook!"/>
    <n v="4689"/>
    <n v="134"/>
    <n v="403"/>
    <n v="51579"/>
    <n v="50924"/>
    <n v="173"/>
    <s v="#TeslaCoInnovation"/>
    <s v="SustainabilityDrive"/>
    <n v="0.10132030477519921"/>
  </r>
  <r>
    <s v="P183"/>
    <x v="2"/>
    <d v="2024-12-17T00:00:00"/>
    <x v="2"/>
    <s v="Check out our latest story on instagram!"/>
    <n v="360"/>
    <n v="590"/>
    <n v="393"/>
    <n v="4680"/>
    <n v="4322"/>
    <n v="208"/>
    <s v="#FutureOfDriving"/>
    <s v="ModelYCampaign"/>
    <n v="0.28696581196581195"/>
  </r>
  <r>
    <s v="P184"/>
    <x v="0"/>
    <d v="2024-07-28T00:00:00"/>
    <x v="4"/>
    <s v="Check out our latest image on twitter!"/>
    <n v="3215"/>
    <n v="960"/>
    <n v="202"/>
    <n v="32150"/>
    <n v="31404"/>
    <n v="251"/>
    <s v="#EVRevolution"/>
    <s v="CybertruckLaunch"/>
    <n v="0.13614307931570763"/>
  </r>
  <r>
    <s v="P185"/>
    <x v="2"/>
    <d v="2025-01-11T00:00:00"/>
    <x v="3"/>
    <s v="Check out our latest carousel on instagram!"/>
    <n v="4523"/>
    <n v="61"/>
    <n v="157"/>
    <n v="49753"/>
    <n v="49329"/>
    <n v="71"/>
    <s v="#EVRevolution"/>
    <m/>
    <n v="9.5290736237010829E-2"/>
  </r>
  <r>
    <s v="P186"/>
    <x v="3"/>
    <d v="2024-08-24T00:00:00"/>
    <x v="3"/>
    <s v="Check out our latest carousel on facebook!"/>
    <n v="4292"/>
    <n v="51"/>
    <n v="392"/>
    <n v="55796"/>
    <n v="54826"/>
    <n v="264"/>
    <s v="#EVRevolution"/>
    <s v="FSDUpdate"/>
    <n v="8.4862714173059003E-2"/>
  </r>
  <r>
    <s v="P187"/>
    <x v="0"/>
    <d v="2024-12-22T00:00:00"/>
    <x v="0"/>
    <s v="Check out our latest reel on twitter!"/>
    <n v="1644"/>
    <n v="546"/>
    <n v="150"/>
    <n v="27948"/>
    <n v="27184"/>
    <n v="300"/>
    <s v="#EVRevolution"/>
    <s v="FSDUpdate"/>
    <n v="8.3726921425504502E-2"/>
  </r>
  <r>
    <s v="P188"/>
    <x v="1"/>
    <d v="2024-06-06T00:00:00"/>
    <x v="0"/>
    <s v="Check out our latest reel on youtube!"/>
    <n v="2728"/>
    <n v="533"/>
    <n v="215"/>
    <n v="40920"/>
    <n v="40816"/>
    <n v="137"/>
    <s v="#FutureOfDriving"/>
    <s v="ModelYCampaign"/>
    <n v="8.4946236559139784E-2"/>
  </r>
  <r>
    <s v="P189"/>
    <x v="3"/>
    <d v="2025-03-24T00:00:00"/>
    <x v="0"/>
    <s v="Check out our latest reel on facebook!"/>
    <n v="3360"/>
    <n v="525"/>
    <n v="500"/>
    <n v="60480"/>
    <n v="59610"/>
    <n v="192"/>
    <s v="#TeslaCoInnovation"/>
    <s v="CybertruckLaunch"/>
    <n v="7.2503306878306875E-2"/>
  </r>
  <r>
    <s v="P190"/>
    <x v="1"/>
    <d v="2024-10-04T00:00:00"/>
    <x v="1"/>
    <s v="Check out our latest text on youtube!"/>
    <n v="1963"/>
    <n v="213"/>
    <n v="19"/>
    <n v="39260"/>
    <n v="38771"/>
    <n v="145"/>
    <s v="#FutureOfDriving"/>
    <m/>
    <n v="5.5909322465613857E-2"/>
  </r>
  <r>
    <s v="P191"/>
    <x v="1"/>
    <d v="2024-12-03T00:00:00"/>
    <x v="2"/>
    <s v="Check out our latest story on youtube!"/>
    <n v="4285"/>
    <n v="886"/>
    <n v="376"/>
    <n v="55705"/>
    <n v="55556"/>
    <n v="51"/>
    <s v="#FutureOfDriving"/>
    <s v="FSDUpdate"/>
    <n v="9.9578134817341346E-2"/>
  </r>
  <r>
    <s v="P192"/>
    <x v="2"/>
    <d v="2024-11-29T00:00:00"/>
    <x v="5"/>
    <s v="Check out our latest video on instagram!"/>
    <n v="1176"/>
    <n v="464"/>
    <n v="394"/>
    <n v="14112"/>
    <n v="13588"/>
    <n v="272"/>
    <s v="#EVRevolution"/>
    <m/>
    <n v="0.1441326530612245"/>
  </r>
  <r>
    <s v="P193"/>
    <x v="0"/>
    <d v="2024-09-11T00:00:00"/>
    <x v="4"/>
    <s v="Check out our latest image on twitter!"/>
    <n v="4858"/>
    <n v="317"/>
    <n v="129"/>
    <n v="53438"/>
    <n v="52687"/>
    <n v="223"/>
    <s v="#EVRevolution"/>
    <s v="FSDUpdate"/>
    <n v="9.9255211647142488E-2"/>
  </r>
  <r>
    <s v="P194"/>
    <x v="1"/>
    <d v="2024-10-02T00:00:00"/>
    <x v="2"/>
    <s v="Check out our latest story on youtube!"/>
    <n v="4350"/>
    <n v="771"/>
    <n v="7"/>
    <n v="60900"/>
    <n v="60592"/>
    <n v="195"/>
    <s v="#EVRevolution"/>
    <s v="CybertruckLaunch"/>
    <n v="8.4203612479474554E-2"/>
  </r>
  <r>
    <s v="P195"/>
    <x v="2"/>
    <d v="2024-08-15T00:00:00"/>
    <x v="3"/>
    <s v="Check out our latest carousel on instagram!"/>
    <n v="914"/>
    <n v="464"/>
    <n v="246"/>
    <n v="11882"/>
    <n v="11500"/>
    <n v="282"/>
    <s v="#FutureOfDriving"/>
    <s v="SustainabilityDrive"/>
    <n v="0.13667732704931829"/>
  </r>
  <r>
    <s v="P195"/>
    <x v="2"/>
    <d v="2024-08-15T00:00:00"/>
    <x v="3"/>
    <s v="Check out our latest carousel on instagram!"/>
    <n v="914"/>
    <n v="464"/>
    <n v="246"/>
    <n v="11882"/>
    <n v="11500"/>
    <n v="282"/>
    <s v="#TeslaCoInnovation"/>
    <s v="SustainabilityDrive"/>
    <n v="0.13667732704931829"/>
  </r>
  <r>
    <s v="P195"/>
    <x v="2"/>
    <d v="2024-08-15T00:00:00"/>
    <x v="3"/>
    <s v="Check out our latest carousel on instagram!"/>
    <n v="914"/>
    <n v="464"/>
    <n v="246"/>
    <n v="11882"/>
    <n v="11500"/>
    <n v="282"/>
    <s v="#AnytimeIsTeslaTime"/>
    <s v="SustainabilityDrive"/>
    <n v="0.13667732704931829"/>
  </r>
  <r>
    <s v="P196"/>
    <x v="2"/>
    <d v="2024-12-19T00:00:00"/>
    <x v="1"/>
    <s v="Check out our latest text on instagram!"/>
    <n v="1813"/>
    <n v="623"/>
    <n v="72"/>
    <n v="19943"/>
    <n v="18959"/>
    <n v="85"/>
    <s v="#EVRevolution"/>
    <s v="FSDUpdate"/>
    <n v="0.12575841147269717"/>
  </r>
  <r>
    <s v="P197"/>
    <x v="0"/>
    <d v="2024-10-22T00:00:00"/>
    <x v="0"/>
    <s v="Check out our latest reel on twitter!"/>
    <n v="4782"/>
    <n v="721"/>
    <n v="82"/>
    <n v="86076"/>
    <n v="85339"/>
    <n v="19"/>
    <s v="#EVRevolution"/>
    <s v="CybertruckLaunch"/>
    <n v="6.4884520656164318E-2"/>
  </r>
  <r>
    <s v="P198"/>
    <x v="0"/>
    <d v="2024-09-14T00:00:00"/>
    <x v="4"/>
    <s v="Check out our latest image on twitter!"/>
    <n v="1048"/>
    <n v="374"/>
    <n v="450"/>
    <n v="9432"/>
    <n v="8882"/>
    <n v="158"/>
    <s v="#TeslaCoInnovation"/>
    <s v="FSDUpdate"/>
    <n v="0.19847328244274809"/>
  </r>
  <r>
    <s v="P199"/>
    <x v="1"/>
    <d v="2024-11-30T00:00:00"/>
    <x v="3"/>
    <s v="Check out our latest carousel on youtube!"/>
    <n v="2509"/>
    <n v="324"/>
    <n v="171"/>
    <n v="35126"/>
    <n v="34685"/>
    <n v="277"/>
    <s v="#TeslaCoInnovation"/>
    <s v="ModelYCampaign"/>
    <n v="8.5520696919660646E-2"/>
  </r>
  <r>
    <s v="P200"/>
    <x v="3"/>
    <d v="2025-04-07T00:00:00"/>
    <x v="0"/>
    <s v="Check out our latest reel on facebook!"/>
    <n v="3718"/>
    <n v="385"/>
    <n v="310"/>
    <n v="70642"/>
    <n v="69749"/>
    <n v="233"/>
    <s v="#TeslaCoInnovation"/>
    <s v="ModelYCampaign"/>
    <n v="6.246991874522239E-2"/>
  </r>
  <r>
    <s v="P201"/>
    <x v="0"/>
    <d v="2025-01-15T00:00:00"/>
    <x v="0"/>
    <s v="Check out our latest reel on twitter!"/>
    <n v="802"/>
    <n v="262"/>
    <n v="244"/>
    <n v="14436"/>
    <n v="14280"/>
    <n v="49"/>
    <s v="#EVRevolution"/>
    <s v="CybertruckLaunch"/>
    <n v="9.0606816292601824E-2"/>
  </r>
  <r>
    <s v="P202"/>
    <x v="3"/>
    <d v="2024-06-02T00:00:00"/>
    <x v="4"/>
    <s v="Check out our latest image on facebook!"/>
    <n v="1871"/>
    <n v="252"/>
    <n v="335"/>
    <n v="29936"/>
    <n v="29576"/>
    <n v="288"/>
    <s v="#EVRevolution"/>
    <s v="FSDUpdate"/>
    <n v="8.2108498129342594E-2"/>
  </r>
  <r>
    <s v="P203"/>
    <x v="2"/>
    <d v="2024-11-21T00:00:00"/>
    <x v="3"/>
    <s v="Check out our latest carousel on instagram!"/>
    <n v="3773"/>
    <n v="299"/>
    <n v="38"/>
    <n v="71687"/>
    <n v="71447"/>
    <n v="286"/>
    <s v="#FutureOfDriving"/>
    <s v="CybertruckLaunch"/>
    <n v="5.7332570758993957E-2"/>
  </r>
  <r>
    <s v="P204"/>
    <x v="2"/>
    <d v="2025-01-01T00:00:00"/>
    <x v="3"/>
    <s v="Check out our latest carousel on instagram!"/>
    <n v="2234"/>
    <n v="653"/>
    <n v="432"/>
    <n v="11170"/>
    <n v="10569"/>
    <n v="198"/>
    <s v="#FutureOfDriving"/>
    <s v="FSDUpdate"/>
    <n v="0.29713518352730528"/>
  </r>
  <r>
    <s v="P205"/>
    <x v="0"/>
    <d v="2025-04-24T00:00:00"/>
    <x v="5"/>
    <s v="Check out our latest video on twitter!"/>
    <n v="3820"/>
    <n v="697"/>
    <n v="268"/>
    <n v="45840"/>
    <n v="45631"/>
    <n v="171"/>
    <s v="#TeslaCoInnovation"/>
    <s v="SustainabilityDrive"/>
    <n v="0.1043848167539267"/>
  </r>
  <r>
    <s v="P205"/>
    <x v="0"/>
    <d v="2025-04-24T00:00:00"/>
    <x v="5"/>
    <s v="Check out our latest video on twitter!"/>
    <n v="3820"/>
    <n v="697"/>
    <n v="268"/>
    <n v="45840"/>
    <n v="45631"/>
    <n v="171"/>
    <s v="#SmoothLikeNitroTesla"/>
    <s v="SustainabilityDrive"/>
    <n v="0.1043848167539267"/>
  </r>
  <r>
    <s v="P206"/>
    <x v="0"/>
    <d v="2024-06-24T00:00:00"/>
    <x v="1"/>
    <s v="Check out our latest text on twitter!"/>
    <n v="941"/>
    <n v="121"/>
    <n v="458"/>
    <n v="14115"/>
    <n v="13838"/>
    <n v="87"/>
    <s v="#EVRevolution"/>
    <s v="CybertruckLaunch"/>
    <n v="0.10768685795253277"/>
  </r>
  <r>
    <s v="P207"/>
    <x v="0"/>
    <d v="2024-12-29T00:00:00"/>
    <x v="3"/>
    <s v="Check out our latest carousel on twitter!"/>
    <n v="4274"/>
    <n v="340"/>
    <n v="281"/>
    <n v="34192"/>
    <n v="33446"/>
    <n v="129"/>
    <s v="#TeslaCoInnovation"/>
    <s v="FSDUpdate"/>
    <n v="0.14316214319138981"/>
  </r>
  <r>
    <s v="P207"/>
    <x v="0"/>
    <d v="2024-12-29T00:00:00"/>
    <x v="3"/>
    <s v="Check out our latest carousel on twitter!"/>
    <n v="4274"/>
    <n v="340"/>
    <n v="281"/>
    <n v="34192"/>
    <n v="33446"/>
    <n v="129"/>
    <s v="#SmoothLikeNitroTesla"/>
    <s v="FSDUpdate"/>
    <n v="0.14316214319138981"/>
  </r>
  <r>
    <s v="P208"/>
    <x v="1"/>
    <d v="2024-06-24T00:00:00"/>
    <x v="5"/>
    <s v="Check out our latest video on youtube!"/>
    <n v="2949"/>
    <n v="476"/>
    <n v="403"/>
    <n v="44235"/>
    <n v="43705"/>
    <n v="135"/>
    <s v="#TeslaCoInnovation"/>
    <s v="ModelYCampaign"/>
    <n v="8.6537809426924378E-2"/>
  </r>
  <r>
    <s v="P209"/>
    <x v="0"/>
    <d v="2025-03-19T00:00:00"/>
    <x v="5"/>
    <s v="Check out our latest video on twitter!"/>
    <n v="3160"/>
    <n v="204"/>
    <n v="297"/>
    <n v="44240"/>
    <n v="43666"/>
    <n v="49"/>
    <s v="#FutureOfDriving"/>
    <s v="SustainabilityDrive"/>
    <n v="8.2753164556962022E-2"/>
  </r>
  <r>
    <s v="P209"/>
    <x v="0"/>
    <d v="2025-03-19T00:00:00"/>
    <x v="5"/>
    <s v="Check out our latest video on twitter!"/>
    <n v="3160"/>
    <n v="204"/>
    <n v="297"/>
    <n v="44240"/>
    <n v="43666"/>
    <n v="49"/>
    <s v="#AnytimeIsTeslaTime"/>
    <s v="SustainabilityDrive"/>
    <n v="8.2753164556962022E-2"/>
  </r>
  <r>
    <s v="P210"/>
    <x v="1"/>
    <d v="2025-02-19T00:00:00"/>
    <x v="4"/>
    <s v="Check out our latest image on youtube!"/>
    <n v="257"/>
    <n v="966"/>
    <n v="398"/>
    <n v="3341"/>
    <n v="2753"/>
    <n v="287"/>
    <s v="#FutureOfDriving"/>
    <s v="CybertruckLaunch"/>
    <n v="0.48518407662376534"/>
  </r>
  <r>
    <s v="P211"/>
    <x v="0"/>
    <d v="2024-07-18T00:00:00"/>
    <x v="3"/>
    <s v="Check out our latest carousel on twitter!"/>
    <n v="2120"/>
    <n v="38"/>
    <n v="212"/>
    <n v="12720"/>
    <n v="12564"/>
    <n v="21"/>
    <s v="#FutureOfDriving"/>
    <s v="SustainabilityDrive"/>
    <n v="0.18632075471698112"/>
  </r>
  <r>
    <s v="P212"/>
    <x v="1"/>
    <d v="2025-03-03T00:00:00"/>
    <x v="5"/>
    <s v="Check out our latest video on youtube!"/>
    <n v="3874"/>
    <n v="884"/>
    <n v="19"/>
    <n v="38740"/>
    <n v="38552"/>
    <n v="219"/>
    <s v="#TeslaCoInnovation"/>
    <s v="ModelYCampaign"/>
    <n v="0.123309241094476"/>
  </r>
  <r>
    <s v="P213"/>
    <x v="3"/>
    <d v="2025-05-01T00:00:00"/>
    <x v="3"/>
    <s v="Check out our latest carousel on facebook!"/>
    <n v="2696"/>
    <n v="628"/>
    <n v="443"/>
    <n v="45832"/>
    <n v="45632"/>
    <n v="248"/>
    <s v="#EVRevolution"/>
    <s v="SustainabilityDrive"/>
    <n v="8.21914819340199E-2"/>
  </r>
  <r>
    <s v="P214"/>
    <x v="2"/>
    <d v="2024-12-23T00:00:00"/>
    <x v="4"/>
    <s v="Check out our latest image on instagram!"/>
    <n v="521"/>
    <n v="746"/>
    <n v="315"/>
    <n v="4168"/>
    <n v="3399"/>
    <n v="282"/>
    <s v="#FutureOfDriving"/>
    <s v="ModelYCampaign"/>
    <n v="0.37955854126679461"/>
  </r>
  <r>
    <s v="P215"/>
    <x v="3"/>
    <d v="2025-05-06T00:00:00"/>
    <x v="4"/>
    <s v="Check out our latest image on facebook!"/>
    <n v="4872"/>
    <n v="925"/>
    <n v="176"/>
    <n v="82824"/>
    <n v="82543"/>
    <n v="89"/>
    <s v="#EVRevolution"/>
    <s v="ModelYCampaign"/>
    <n v="7.2116777745580993E-2"/>
  </r>
  <r>
    <s v="P216"/>
    <x v="1"/>
    <d v="2024-07-29T00:00:00"/>
    <x v="2"/>
    <s v="Check out our latest story on youtube!"/>
    <n v="1509"/>
    <n v="88"/>
    <n v="163"/>
    <n v="30180"/>
    <n v="29689"/>
    <n v="119"/>
    <s v="#EVRevolution"/>
    <s v="ModelYCampaign"/>
    <n v="5.8316766070245198E-2"/>
  </r>
  <r>
    <s v="P217"/>
    <x v="3"/>
    <d v="2024-12-03T00:00:00"/>
    <x v="4"/>
    <s v="Check out our latest image on facebook!"/>
    <n v="4606"/>
    <n v="931"/>
    <n v="230"/>
    <n v="92120"/>
    <n v="91440"/>
    <n v="56"/>
    <s v="#TeslaCoInnovation"/>
    <m/>
    <n v="6.2603126356925748E-2"/>
  </r>
  <r>
    <s v="P218"/>
    <x v="3"/>
    <d v="2024-06-11T00:00:00"/>
    <x v="3"/>
    <s v="Check out our latest carousel on facebook!"/>
    <n v="1869"/>
    <n v="453"/>
    <n v="490"/>
    <n v="14952"/>
    <n v="14309"/>
    <n v="275"/>
    <s v="#TeslaCoInnovation"/>
    <s v="SustainabilityDrive"/>
    <n v="0.18806848582129482"/>
  </r>
  <r>
    <s v="P219"/>
    <x v="0"/>
    <d v="2025-01-28T00:00:00"/>
    <x v="0"/>
    <s v="Check out our latest reel on twitter!"/>
    <n v="1188"/>
    <n v="470"/>
    <n v="174"/>
    <n v="7128"/>
    <n v="6145"/>
    <n v="270"/>
    <s v="#TeslaCoInnovation"/>
    <s v="SustainabilityDrive"/>
    <n v="0.25701459034792368"/>
  </r>
  <r>
    <s v="P220"/>
    <x v="2"/>
    <d v="2024-06-02T00:00:00"/>
    <x v="2"/>
    <s v="Check out our latest story on instagram!"/>
    <n v="84"/>
    <n v="897"/>
    <n v="85"/>
    <n v="588"/>
    <n v="8"/>
    <n v="12"/>
    <s v="#EVRevolution"/>
    <m/>
    <n v="1.8129251700680271"/>
  </r>
  <r>
    <s v="P221"/>
    <x v="3"/>
    <d v="2025-03-23T00:00:00"/>
    <x v="5"/>
    <s v="Check out our latest video on facebook!"/>
    <n v="4453"/>
    <n v="111"/>
    <n v="420"/>
    <n v="31171"/>
    <n v="30565"/>
    <n v="23"/>
    <s v="#TeslaCoInnovation"/>
    <m/>
    <n v="0.15989220750056141"/>
  </r>
  <r>
    <s v="P222"/>
    <x v="3"/>
    <d v="2024-10-08T00:00:00"/>
    <x v="0"/>
    <s v="Check out our latest reel on facebook!"/>
    <n v="1814"/>
    <n v="653"/>
    <n v="363"/>
    <n v="25396"/>
    <n v="25286"/>
    <n v="39"/>
    <s v="#FutureOfDriving"/>
    <s v="CybertruckLaunch"/>
    <n v="0.11143487163332809"/>
  </r>
  <r>
    <s v="P222"/>
    <x v="3"/>
    <d v="2024-10-08T00:00:00"/>
    <x v="0"/>
    <s v="Check out our latest reel on facebook!"/>
    <n v="1814"/>
    <n v="653"/>
    <n v="363"/>
    <n v="25396"/>
    <n v="25286"/>
    <n v="39"/>
    <s v="#SmoothLikeNitroTesla"/>
    <s v="CybertruckLaunch"/>
    <n v="0.11143487163332809"/>
  </r>
  <r>
    <s v="P223"/>
    <x v="0"/>
    <d v="2024-11-12T00:00:00"/>
    <x v="4"/>
    <s v="Check out our latest image on twitter!"/>
    <n v="3338"/>
    <n v="277"/>
    <n v="118"/>
    <n v="60084"/>
    <n v="59842"/>
    <n v="252"/>
    <s v="#TeslaCoInnovation"/>
    <m/>
    <n v="6.2129685107516146E-2"/>
  </r>
  <r>
    <s v="P224"/>
    <x v="3"/>
    <d v="2025-05-13T00:00:00"/>
    <x v="4"/>
    <s v="Check out our latest image on facebook!"/>
    <n v="602"/>
    <n v="594"/>
    <n v="156"/>
    <n v="4214"/>
    <n v="3363"/>
    <n v="164"/>
    <s v="#TeslaCoInnovation"/>
    <s v="FSDUpdate"/>
    <n v="0.32083531086853345"/>
  </r>
  <r>
    <s v="P225"/>
    <x v="0"/>
    <d v="2024-06-20T00:00:00"/>
    <x v="3"/>
    <s v="Check out our latest carousel on twitter!"/>
    <n v="4672"/>
    <n v="325"/>
    <n v="32"/>
    <n v="88768"/>
    <n v="87833"/>
    <n v="118"/>
    <s v="#EVRevolution"/>
    <m/>
    <n v="5.6653298485940883E-2"/>
  </r>
  <r>
    <s v="P226"/>
    <x v="2"/>
    <d v="2024-08-07T00:00:00"/>
    <x v="3"/>
    <s v="Check out our latest carousel on instagram!"/>
    <n v="1741"/>
    <n v="164"/>
    <n v="318"/>
    <n v="8705"/>
    <n v="8272"/>
    <n v="121"/>
    <s v="#TeslaCoInnovation"/>
    <m/>
    <n v="0.25537047673750718"/>
  </r>
  <r>
    <s v="P227"/>
    <x v="2"/>
    <d v="2024-06-12T00:00:00"/>
    <x v="1"/>
    <s v="Check out our latest text on instagram!"/>
    <n v="246"/>
    <n v="149"/>
    <n v="130"/>
    <n v="4674"/>
    <n v="4390"/>
    <n v="217"/>
    <s v="#FutureOfDriving"/>
    <s v="FSDUpdate"/>
    <n v="0.11232349165596919"/>
  </r>
  <r>
    <s v="P228"/>
    <x v="2"/>
    <d v="2024-07-01T00:00:00"/>
    <x v="2"/>
    <s v="Check out our latest story on instagram!"/>
    <n v="4808"/>
    <n v="772"/>
    <n v="320"/>
    <n v="72120"/>
    <n v="71696"/>
    <n v="195"/>
    <s v="#EVRevolution"/>
    <s v="CybertruckLaunch"/>
    <n v="8.1808097615085965E-2"/>
  </r>
  <r>
    <s v="P229"/>
    <x v="2"/>
    <d v="2024-07-03T00:00:00"/>
    <x v="3"/>
    <s v="Check out our latest carousel on instagram!"/>
    <n v="4799"/>
    <n v="694"/>
    <n v="289"/>
    <n v="43191"/>
    <n v="42228"/>
    <n v="118"/>
    <s v="#TeslaCoInnovation"/>
    <m/>
    <n v="0.13387048227640017"/>
  </r>
  <r>
    <s v="P230"/>
    <x v="3"/>
    <d v="2024-07-15T00:00:00"/>
    <x v="0"/>
    <s v="Check out our latest reel on facebook!"/>
    <n v="3663"/>
    <n v="17"/>
    <n v="295"/>
    <n v="51282"/>
    <n v="50567"/>
    <n v="84"/>
    <s v="#EVRevolution"/>
    <s v="FSDUpdate"/>
    <n v="7.7512577512577507E-2"/>
  </r>
  <r>
    <s v="P231"/>
    <x v="2"/>
    <d v="2025-05-01T00:00:00"/>
    <x v="1"/>
    <s v="Check out our latest text on instagram!"/>
    <n v="1430"/>
    <n v="376"/>
    <n v="33"/>
    <n v="21450"/>
    <n v="20509"/>
    <n v="251"/>
    <s v="#FutureOfDriving"/>
    <s v="CybertruckLaunch"/>
    <n v="8.5734265734265735E-2"/>
  </r>
  <r>
    <s v="P232"/>
    <x v="0"/>
    <d v="2025-04-29T00:00:00"/>
    <x v="2"/>
    <s v="Check out our latest story on twitter!"/>
    <n v="249"/>
    <n v="592"/>
    <n v="230"/>
    <n v="1494"/>
    <n v="1044"/>
    <n v="201"/>
    <s v="#EVRevolution"/>
    <s v="SustainabilityDrive"/>
    <n v="0.7168674698795181"/>
  </r>
  <r>
    <s v="P233"/>
    <x v="3"/>
    <d v="2025-03-08T00:00:00"/>
    <x v="4"/>
    <s v="Check out our latest image on facebook!"/>
    <n v="2382"/>
    <n v="265"/>
    <n v="134"/>
    <n v="38112"/>
    <n v="37437"/>
    <n v="249"/>
    <s v="#FutureOfDriving"/>
    <s v="SustainabilityDrive"/>
    <n v="7.2969143576826198E-2"/>
  </r>
  <r>
    <s v="P234"/>
    <x v="3"/>
    <d v="2024-06-01T00:00:00"/>
    <x v="1"/>
    <s v="Check out our latest text on facebook!"/>
    <n v="1272"/>
    <n v="465"/>
    <n v="99"/>
    <n v="24168"/>
    <n v="23719"/>
    <n v="42"/>
    <s v="#TeslaCoInnovation"/>
    <m/>
    <n v="7.5968222442899705E-2"/>
  </r>
  <r>
    <s v="P235"/>
    <x v="3"/>
    <d v="2024-12-22T00:00:00"/>
    <x v="4"/>
    <s v="Check out our latest image on facebook!"/>
    <n v="3196"/>
    <n v="941"/>
    <n v="376"/>
    <n v="35156"/>
    <n v="34444"/>
    <n v="241"/>
    <s v="#TeslaCoInnovation"/>
    <s v="FSDUpdate"/>
    <n v="0.1283706906360223"/>
  </r>
  <r>
    <s v="P236"/>
    <x v="3"/>
    <d v="2024-08-19T00:00:00"/>
    <x v="1"/>
    <s v="Check out our latest text on facebook!"/>
    <n v="1257"/>
    <n v="19"/>
    <n v="351"/>
    <n v="12570"/>
    <n v="11660"/>
    <n v="194"/>
    <s v="#FutureOfDriving"/>
    <s v="ModelYCampaign"/>
    <n v="0.12943516308671441"/>
  </r>
  <r>
    <s v="P236"/>
    <x v="3"/>
    <d v="2024-08-19T00:00:00"/>
    <x v="1"/>
    <s v="Check out our latest text on facebook!"/>
    <n v="1257"/>
    <n v="19"/>
    <n v="351"/>
    <n v="12570"/>
    <n v="11660"/>
    <n v="194"/>
    <s v="#AnytimeIsTeslaTime"/>
    <s v="ModelYCampaign"/>
    <n v="0.12943516308671441"/>
  </r>
  <r>
    <s v="P236"/>
    <x v="3"/>
    <d v="2024-08-19T00:00:00"/>
    <x v="1"/>
    <s v="Check out our latest text on facebook!"/>
    <n v="1257"/>
    <n v="19"/>
    <n v="351"/>
    <n v="12570"/>
    <n v="11660"/>
    <n v="194"/>
    <s v="#EVRevolution"/>
    <s v="ModelYCampaign"/>
    <n v="0.12943516308671441"/>
  </r>
  <r>
    <s v="P237"/>
    <x v="2"/>
    <d v="2024-10-22T00:00:00"/>
    <x v="2"/>
    <s v="Check out our latest story on instagram!"/>
    <n v="3770"/>
    <n v="917"/>
    <n v="129"/>
    <n v="71630"/>
    <n v="71322"/>
    <n v="76"/>
    <s v="#FutureOfDriving"/>
    <s v="CybertruckLaunch"/>
    <n v="6.7234398994834563E-2"/>
  </r>
  <r>
    <s v="P238"/>
    <x v="0"/>
    <d v="2024-07-16T00:00:00"/>
    <x v="1"/>
    <s v="Check out our latest text on twitter!"/>
    <n v="4725"/>
    <n v="400"/>
    <n v="362"/>
    <n v="75600"/>
    <n v="74927"/>
    <n v="43"/>
    <s v="#FutureOfDriving"/>
    <s v="SustainabilityDrive"/>
    <n v="7.2579365079365077E-2"/>
  </r>
  <r>
    <s v="P239"/>
    <x v="1"/>
    <d v="2025-02-24T00:00:00"/>
    <x v="1"/>
    <s v="Check out our latest text on youtube!"/>
    <n v="4188"/>
    <n v="942"/>
    <n v="118"/>
    <n v="20940"/>
    <n v="20471"/>
    <n v="102"/>
    <s v="#FutureOfDriving"/>
    <m/>
    <n v="0.25062082139446035"/>
  </r>
  <r>
    <s v="P240"/>
    <x v="0"/>
    <d v="2024-08-26T00:00:00"/>
    <x v="3"/>
    <s v="Check out our latest carousel on twitter!"/>
    <n v="929"/>
    <n v="192"/>
    <n v="322"/>
    <n v="16722"/>
    <n v="15996"/>
    <n v="145"/>
    <s v="#EVRevolution"/>
    <s v="FSDUpdate"/>
    <n v="8.6293505561535699E-2"/>
  </r>
  <r>
    <s v="P240"/>
    <x v="0"/>
    <d v="2024-08-26T00:00:00"/>
    <x v="3"/>
    <s v="Check out our latest carousel on twitter!"/>
    <n v="929"/>
    <n v="192"/>
    <n v="322"/>
    <n v="16722"/>
    <n v="15996"/>
    <n v="145"/>
    <s v="#TeslaCoInnovation"/>
    <s v="FSDUpdate"/>
    <n v="8.6293505561535699E-2"/>
  </r>
  <r>
    <s v="P240"/>
    <x v="0"/>
    <d v="2024-08-26T00:00:00"/>
    <x v="3"/>
    <s v="Check out our latest carousel on twitter!"/>
    <n v="929"/>
    <n v="192"/>
    <n v="322"/>
    <n v="16722"/>
    <n v="15996"/>
    <n v="145"/>
    <s v="#AnytimeIsTeslaTime"/>
    <s v="FSDUpdate"/>
    <n v="8.6293505561535699E-2"/>
  </r>
  <r>
    <s v="P241"/>
    <x v="3"/>
    <d v="2025-01-18T00:00:00"/>
    <x v="2"/>
    <s v="Check out our latest story on facebook!"/>
    <n v="4321"/>
    <n v="874"/>
    <n v="172"/>
    <n v="30247"/>
    <n v="29254"/>
    <n v="122"/>
    <s v="#TeslaCoInnovation"/>
    <s v="SustainabilityDrive"/>
    <n v="0.17743908486792079"/>
  </r>
  <r>
    <s v="P242"/>
    <x v="3"/>
    <d v="2024-07-07T00:00:00"/>
    <x v="0"/>
    <s v="Check out our latest reel on facebook!"/>
    <n v="4767"/>
    <n v="190"/>
    <n v="340"/>
    <n v="28602"/>
    <n v="28044"/>
    <n v="210"/>
    <s v="#EVRevolution"/>
    <s v="FSDUpdate"/>
    <n v="0.18519683938186141"/>
  </r>
  <r>
    <s v="P243"/>
    <x v="0"/>
    <d v="2025-03-06T00:00:00"/>
    <x v="4"/>
    <s v="Check out our latest image on twitter!"/>
    <n v="3592"/>
    <n v="911"/>
    <n v="375"/>
    <n v="50288"/>
    <n v="49490"/>
    <n v="32"/>
    <s v="#FutureOfDriving"/>
    <s v="SustainabilityDrive"/>
    <n v="9.7001272669424113E-2"/>
  </r>
  <r>
    <s v="P244"/>
    <x v="1"/>
    <d v="2024-10-25T00:00:00"/>
    <x v="5"/>
    <s v="Check out our latest video on youtube!"/>
    <n v="4661"/>
    <n v="935"/>
    <n v="433"/>
    <n v="23305"/>
    <n v="22583"/>
    <n v="63"/>
    <s v="#FutureOfDriving"/>
    <s v="FSDUpdate"/>
    <n v="0.25869984981763572"/>
  </r>
  <r>
    <s v="P245"/>
    <x v="3"/>
    <d v="2025-01-12T00:00:00"/>
    <x v="0"/>
    <s v="Check out our latest reel on facebook!"/>
    <n v="4134"/>
    <n v="824"/>
    <n v="99"/>
    <n v="41340"/>
    <n v="41050"/>
    <n v="177"/>
    <s v="#EVRevolution"/>
    <s v="CybertruckLaunch"/>
    <n v="0.12232704402515723"/>
  </r>
  <r>
    <s v="P246"/>
    <x v="3"/>
    <d v="2024-10-11T00:00:00"/>
    <x v="4"/>
    <s v="Check out our latest image on facebook!"/>
    <n v="400"/>
    <n v="680"/>
    <n v="434"/>
    <n v="6400"/>
    <n v="5472"/>
    <n v="160"/>
    <s v="#FutureOfDriving"/>
    <s v="ModelYCampaign"/>
    <n v="0.23656250000000001"/>
  </r>
  <r>
    <s v="P247"/>
    <x v="3"/>
    <d v="2024-08-27T00:00:00"/>
    <x v="0"/>
    <s v="Check out our latest reel on facebook!"/>
    <n v="3960"/>
    <n v="266"/>
    <n v="8"/>
    <n v="35640"/>
    <n v="34850"/>
    <n v="208"/>
    <s v="#FutureOfDriving"/>
    <m/>
    <n v="0.11879910213243547"/>
  </r>
  <r>
    <s v="P247"/>
    <x v="3"/>
    <d v="2024-08-27T00:00:00"/>
    <x v="0"/>
    <s v="Check out our latest reel on facebook!"/>
    <n v="3960"/>
    <n v="266"/>
    <n v="8"/>
    <n v="35640"/>
    <n v="34850"/>
    <n v="208"/>
    <s v="#EVRevolution"/>
    <m/>
    <n v="0.11879910213243547"/>
  </r>
  <r>
    <s v="P247"/>
    <x v="3"/>
    <d v="2024-08-27T00:00:00"/>
    <x v="0"/>
    <s v="Check out our latest reel on facebook!"/>
    <n v="3960"/>
    <n v="266"/>
    <n v="8"/>
    <n v="35640"/>
    <n v="34850"/>
    <n v="208"/>
    <s v="#BetterWithTesla"/>
    <m/>
    <n v="0.11879910213243547"/>
  </r>
  <r>
    <s v="P248"/>
    <x v="3"/>
    <d v="2025-02-02T00:00:00"/>
    <x v="2"/>
    <s v="Check out our latest story on facebook!"/>
    <n v="886"/>
    <n v="126"/>
    <n v="153"/>
    <n v="4430"/>
    <n v="4037"/>
    <n v="212"/>
    <s v="#EVRevolution"/>
    <m/>
    <n v="0.26297968397291194"/>
  </r>
  <r>
    <s v="P249"/>
    <x v="0"/>
    <d v="2024-07-18T00:00:00"/>
    <x v="4"/>
    <s v="Check out our latest image on twitter!"/>
    <n v="827"/>
    <n v="77"/>
    <n v="402"/>
    <n v="14886"/>
    <n v="14129"/>
    <n v="254"/>
    <s v="#EVRevolution"/>
    <s v="ModelYCampaign"/>
    <n v="8.7733440816874911E-2"/>
  </r>
  <r>
    <s v="P250"/>
    <x v="3"/>
    <d v="2024-06-22T00:00:00"/>
    <x v="0"/>
    <s v="Check out our latest reel on facebook!"/>
    <n v="3813"/>
    <n v="935"/>
    <n v="274"/>
    <n v="68634"/>
    <n v="68488"/>
    <n v="251"/>
    <s v="#FutureOfDriving"/>
    <m/>
    <n v="7.3170731707317069E-2"/>
  </r>
  <r>
    <s v="P251"/>
    <x v="2"/>
    <d v="2025-03-27T00:00:00"/>
    <x v="3"/>
    <s v="Check out our latest carousel on instagram!"/>
    <n v="1377"/>
    <n v="796"/>
    <n v="387"/>
    <n v="22032"/>
    <n v="21869"/>
    <n v="189"/>
    <s v="#FutureOfDriving"/>
    <m/>
    <n v="0.11619462599854757"/>
  </r>
  <r>
    <s v="P252"/>
    <x v="3"/>
    <d v="2025-04-28T00:00:00"/>
    <x v="3"/>
    <s v="Check out our latest carousel on facebook!"/>
    <n v="2089"/>
    <n v="476"/>
    <n v="69"/>
    <n v="16712"/>
    <n v="16309"/>
    <n v="64"/>
    <s v="#FutureOfDriving"/>
    <s v="FSDUpdate"/>
    <n v="0.15761129727142173"/>
  </r>
  <r>
    <s v="P253"/>
    <x v="0"/>
    <d v="2024-08-03T00:00:00"/>
    <x v="0"/>
    <s v="Check out our latest reel on twitter!"/>
    <n v="3791"/>
    <n v="593"/>
    <n v="228"/>
    <n v="53074"/>
    <n v="52613"/>
    <n v="205"/>
    <s v="#EVRevolution"/>
    <m/>
    <n v="8.6897539284772202E-2"/>
  </r>
  <r>
    <s v="P254"/>
    <x v="0"/>
    <d v="2025-01-14T00:00:00"/>
    <x v="4"/>
    <s v="Check out our latest image on twitter!"/>
    <n v="2692"/>
    <n v="115"/>
    <n v="64"/>
    <n v="21536"/>
    <n v="21120"/>
    <n v="224"/>
    <s v="#FutureOfDriving"/>
    <s v="ModelYCampaign"/>
    <n v="0.13331166419019316"/>
  </r>
  <r>
    <s v="P255"/>
    <x v="3"/>
    <d v="2025-04-03T00:00:00"/>
    <x v="2"/>
    <s v="Check out our latest story on facebook!"/>
    <n v="3767"/>
    <n v="514"/>
    <n v="238"/>
    <n v="37670"/>
    <n v="36807"/>
    <n v="226"/>
    <s v="#FutureOfDriving"/>
    <s v="SustainabilityDrive"/>
    <n v="0.11996283514733209"/>
  </r>
  <r>
    <s v="P256"/>
    <x v="1"/>
    <d v="2024-09-18T00:00:00"/>
    <x v="3"/>
    <s v="Check out our latest carousel on youtube!"/>
    <n v="2143"/>
    <n v="12"/>
    <n v="204"/>
    <n v="40717"/>
    <n v="40125"/>
    <n v="248"/>
    <s v="#EVRevolution"/>
    <s v="ModelYCampaign"/>
    <n v="5.7936488444630008E-2"/>
  </r>
  <r>
    <s v="P257"/>
    <x v="3"/>
    <d v="2025-04-06T00:00:00"/>
    <x v="4"/>
    <s v="Check out our latest image on facebook!"/>
    <n v="3090"/>
    <n v="697"/>
    <n v="164"/>
    <n v="49440"/>
    <n v="48524"/>
    <n v="25"/>
    <s v="#EVRevolution"/>
    <s v="ModelYCampaign"/>
    <n v="7.9915048543689318E-2"/>
  </r>
  <r>
    <s v="P257"/>
    <x v="3"/>
    <d v="2025-04-06T00:00:00"/>
    <x v="4"/>
    <s v="Check out our latest image on facebook!"/>
    <n v="3090"/>
    <n v="697"/>
    <n v="164"/>
    <n v="49440"/>
    <n v="48524"/>
    <n v="25"/>
    <s v="#EVRevolution"/>
    <s v="ModelYCampaign"/>
    <n v="7.9915048543689318E-2"/>
  </r>
  <r>
    <s v="P257"/>
    <x v="3"/>
    <d v="2025-04-06T00:00:00"/>
    <x v="4"/>
    <s v="Check out our latest image on facebook!"/>
    <n v="3090"/>
    <n v="697"/>
    <n v="164"/>
    <n v="49440"/>
    <n v="48524"/>
    <n v="25"/>
    <s v="#BetterWithTesla"/>
    <s v="ModelYCampaign"/>
    <n v="7.9915048543689318E-2"/>
  </r>
  <r>
    <s v="P258"/>
    <x v="2"/>
    <d v="2024-08-05T00:00:00"/>
    <x v="2"/>
    <s v="Check out our latest story on instagram!"/>
    <n v="3601"/>
    <n v="695"/>
    <n v="75"/>
    <n v="21606"/>
    <n v="21454"/>
    <n v="172"/>
    <s v="#EVRevolution"/>
    <s v="ModelYCampaign"/>
    <n v="0.2023049153013052"/>
  </r>
  <r>
    <s v="P259"/>
    <x v="3"/>
    <d v="2025-02-10T00:00:00"/>
    <x v="1"/>
    <s v="Check out our latest text on facebook!"/>
    <n v="562"/>
    <n v="158"/>
    <n v="149"/>
    <n v="3372"/>
    <n v="2940"/>
    <n v="93"/>
    <s v="#TeslaCoInnovation"/>
    <s v="CybertruckLaunch"/>
    <n v="0.25771055753262156"/>
  </r>
  <r>
    <s v="P260"/>
    <x v="2"/>
    <d v="2025-02-12T00:00:00"/>
    <x v="2"/>
    <s v="Check out our latest story on instagram!"/>
    <n v="4332"/>
    <n v="771"/>
    <n v="219"/>
    <n v="60648"/>
    <n v="60397"/>
    <n v="10"/>
    <s v="#TeslaCoInnovation"/>
    <s v="FSDUpdate"/>
    <n v="8.7752275425405618E-2"/>
  </r>
  <r>
    <s v="P260"/>
    <x v="2"/>
    <d v="2025-02-12T00:00:00"/>
    <x v="2"/>
    <s v="Check out our latest story on instagram!"/>
    <n v="4332"/>
    <n v="771"/>
    <n v="219"/>
    <n v="60648"/>
    <n v="60397"/>
    <n v="10"/>
    <s v="#EVRevolution"/>
    <s v="FSDUpdate"/>
    <n v="8.7752275425405618E-2"/>
  </r>
  <r>
    <s v="P260"/>
    <x v="2"/>
    <d v="2025-02-12T00:00:00"/>
    <x v="2"/>
    <s v="Check out our latest story on instagram!"/>
    <n v="4332"/>
    <n v="771"/>
    <n v="219"/>
    <n v="60648"/>
    <n v="60397"/>
    <n v="10"/>
    <s v="#BetterWithTesla"/>
    <s v="FSDUpdate"/>
    <n v="8.7752275425405618E-2"/>
  </r>
  <r>
    <s v="P261"/>
    <x v="2"/>
    <d v="2024-10-27T00:00:00"/>
    <x v="4"/>
    <s v="Check out our latest image on instagram!"/>
    <n v="4853"/>
    <n v="837"/>
    <n v="340"/>
    <n v="72795"/>
    <n v="72237"/>
    <n v="170"/>
    <s v="#EVRevolution"/>
    <s v="CybertruckLaunch"/>
    <n v="8.2835359571399134E-2"/>
  </r>
  <r>
    <s v="P262"/>
    <x v="1"/>
    <d v="2025-01-18T00:00:00"/>
    <x v="4"/>
    <s v="Check out our latest image on youtube!"/>
    <n v="1206"/>
    <n v="238"/>
    <n v="36"/>
    <n v="9648"/>
    <n v="9417"/>
    <n v="237"/>
    <s v="#TeslaCoInnovation"/>
    <m/>
    <n v="0.15339966832504145"/>
  </r>
  <r>
    <s v="P263"/>
    <x v="2"/>
    <d v="2024-08-20T00:00:00"/>
    <x v="0"/>
    <s v="Check out our latest reel on instagram!"/>
    <n v="2603"/>
    <n v="690"/>
    <n v="205"/>
    <n v="13015"/>
    <n v="12130"/>
    <n v="20"/>
    <s v="#FutureOfDriving"/>
    <s v="ModelYCampaign"/>
    <n v="0.26876680752977333"/>
  </r>
  <r>
    <s v="P264"/>
    <x v="0"/>
    <d v="2025-01-30T00:00:00"/>
    <x v="4"/>
    <s v="Check out our latest image on twitter!"/>
    <n v="59"/>
    <n v="163"/>
    <n v="93"/>
    <n v="590"/>
    <n v="475"/>
    <n v="293"/>
    <s v="#TeslaCoInnovation"/>
    <s v="ModelYCampaign"/>
    <n v="0.53389830508474578"/>
  </r>
  <r>
    <s v="P265"/>
    <x v="0"/>
    <d v="2025-02-20T00:00:00"/>
    <x v="3"/>
    <s v="Check out our latest carousel on twitter!"/>
    <n v="1877"/>
    <n v="745"/>
    <n v="225"/>
    <n v="11262"/>
    <n v="10967"/>
    <n v="41"/>
    <s v="#EVRevolution"/>
    <s v="SustainabilityDrive"/>
    <n v="0.25279701651571657"/>
  </r>
  <r>
    <s v="P266"/>
    <x v="3"/>
    <d v="2024-11-25T00:00:00"/>
    <x v="2"/>
    <s v="Check out our latest story on facebook!"/>
    <n v="4182"/>
    <n v="640"/>
    <n v="240"/>
    <n v="50184"/>
    <n v="49351"/>
    <n v="10"/>
    <s v="#TeslaCoInnovation"/>
    <s v="FSDUpdate"/>
    <n v="0.10086880280567512"/>
  </r>
  <r>
    <s v="P267"/>
    <x v="0"/>
    <d v="2024-10-04T00:00:00"/>
    <x v="0"/>
    <s v="Check out our latest reel on twitter!"/>
    <n v="4187"/>
    <n v="66"/>
    <n v="31"/>
    <n v="66992"/>
    <n v="66614"/>
    <n v="62"/>
    <s v="#FutureOfDriving"/>
    <m/>
    <n v="6.3947934081681396E-2"/>
  </r>
  <r>
    <s v="P268"/>
    <x v="2"/>
    <d v="2025-04-13T00:00:00"/>
    <x v="0"/>
    <s v="Check out our latest reel on instagram!"/>
    <n v="4579"/>
    <n v="125"/>
    <n v="300"/>
    <n v="59527"/>
    <n v="59400"/>
    <n v="269"/>
    <s v="#EVRevolution"/>
    <s v="CybertruckLaunch"/>
    <n v="8.4062694239588759E-2"/>
  </r>
  <r>
    <s v="P269"/>
    <x v="2"/>
    <d v="2024-11-05T00:00:00"/>
    <x v="5"/>
    <s v="Check out our latest video on instagram!"/>
    <n v="4561"/>
    <n v="51"/>
    <n v="441"/>
    <n v="22805"/>
    <n v="21890"/>
    <n v="45"/>
    <s v="#TeslaCoInnovation"/>
    <s v="ModelYCampaign"/>
    <n v="0.22157421618066214"/>
  </r>
  <r>
    <s v="P270"/>
    <x v="1"/>
    <d v="2025-01-15T00:00:00"/>
    <x v="0"/>
    <s v="Check out our latest reel on youtube!"/>
    <n v="3774"/>
    <n v="239"/>
    <n v="39"/>
    <n v="60384"/>
    <n v="59490"/>
    <n v="241"/>
    <s v="#TeslaCoInnovation"/>
    <s v="FSDUpdate"/>
    <n v="6.7103868574456813E-2"/>
  </r>
  <r>
    <s v="P271"/>
    <x v="2"/>
    <d v="2024-10-17T00:00:00"/>
    <x v="5"/>
    <s v="Check out our latest video on instagram!"/>
    <n v="3575"/>
    <n v="749"/>
    <n v="111"/>
    <n v="21450"/>
    <n v="20785"/>
    <n v="195"/>
    <s v="#EVRevolution"/>
    <s v="ModelYCampaign"/>
    <n v="0.20675990675990677"/>
  </r>
  <r>
    <s v="P272"/>
    <x v="2"/>
    <d v="2025-03-27T00:00:00"/>
    <x v="1"/>
    <s v="Check out our latest text on instagram!"/>
    <n v="4941"/>
    <n v="414"/>
    <n v="266"/>
    <n v="39528"/>
    <n v="39154"/>
    <n v="217"/>
    <s v="#TeslaCoInnovation"/>
    <s v="FSDUpdate"/>
    <n v="0.14220299534507186"/>
  </r>
  <r>
    <s v="P273"/>
    <x v="1"/>
    <d v="2024-10-12T00:00:00"/>
    <x v="2"/>
    <s v="Check out our latest story on youtube!"/>
    <n v="3641"/>
    <n v="226"/>
    <n v="46"/>
    <n v="40051"/>
    <n v="39319"/>
    <n v="296"/>
    <s v="#EVRevolution"/>
    <s v="SustainabilityDrive"/>
    <n v="9.7700431949264685E-2"/>
  </r>
  <r>
    <s v="P274"/>
    <x v="0"/>
    <d v="2025-01-01T00:00:00"/>
    <x v="3"/>
    <s v="Check out our latest carousel on twitter!"/>
    <n v="3535"/>
    <n v="494"/>
    <n v="152"/>
    <n v="53025"/>
    <n v="52791"/>
    <n v="44"/>
    <s v="#TeslaCoInnovation"/>
    <s v="SustainabilityDrive"/>
    <n v="7.8849599245638849E-2"/>
  </r>
  <r>
    <s v="P275"/>
    <x v="3"/>
    <d v="2024-08-05T00:00:00"/>
    <x v="0"/>
    <s v="Check out our latest reel on facebook!"/>
    <n v="1741"/>
    <n v="831"/>
    <n v="345"/>
    <n v="17410"/>
    <n v="16844"/>
    <n v="58"/>
    <s v="#EVRevolution"/>
    <s v="FSDUpdate"/>
    <n v="0.16754738655944859"/>
  </r>
  <r>
    <s v="P276"/>
    <x v="0"/>
    <d v="2024-06-07T00:00:00"/>
    <x v="3"/>
    <s v="Check out our latest carousel on twitter!"/>
    <n v="1556"/>
    <n v="195"/>
    <n v="131"/>
    <n v="9336"/>
    <n v="8875"/>
    <n v="137"/>
    <s v="#TeslaCoInnovation"/>
    <s v="ModelYCampaign"/>
    <n v="0.2015852613538989"/>
  </r>
  <r>
    <s v="P277"/>
    <x v="3"/>
    <d v="2025-04-06T00:00:00"/>
    <x v="4"/>
    <s v="Check out our latest image on facebook!"/>
    <n v="4236"/>
    <n v="711"/>
    <n v="298"/>
    <n v="21180"/>
    <n v="20516"/>
    <n v="238"/>
    <s v="#FutureOfDriving"/>
    <s v="CybertruckLaunch"/>
    <n v="0.24763928234183191"/>
  </r>
  <r>
    <s v="P278"/>
    <x v="0"/>
    <d v="2024-11-26T00:00:00"/>
    <x v="1"/>
    <s v="Check out our latest text on twitter!"/>
    <n v="4516"/>
    <n v="836"/>
    <n v="169"/>
    <n v="49676"/>
    <n v="49257"/>
    <n v="282"/>
    <s v="#EVRevolution"/>
    <s v="SustainabilityDrive"/>
    <n v="0.11114018842096787"/>
  </r>
  <r>
    <s v="P279"/>
    <x v="1"/>
    <d v="2024-09-02T00:00:00"/>
    <x v="4"/>
    <s v="Check out our latest image on youtube!"/>
    <n v="4905"/>
    <n v="845"/>
    <n v="129"/>
    <n v="98100"/>
    <n v="97772"/>
    <n v="279"/>
    <s v="#TeslaCoInnovation"/>
    <s v="ModelYCampaign"/>
    <n v="5.9928644240570844E-2"/>
  </r>
  <r>
    <s v="P280"/>
    <x v="1"/>
    <d v="2024-10-21T00:00:00"/>
    <x v="5"/>
    <s v="Check out our latest video on youtube!"/>
    <n v="4275"/>
    <n v="680"/>
    <n v="385"/>
    <n v="64125"/>
    <n v="63650"/>
    <n v="104"/>
    <s v="#EVRevolution"/>
    <s v="SustainabilityDrive"/>
    <n v="8.3274853801169585E-2"/>
  </r>
  <r>
    <s v="P280"/>
    <x v="1"/>
    <d v="2024-10-21T00:00:00"/>
    <x v="5"/>
    <s v="Check out our latest video on youtube!"/>
    <n v="4275"/>
    <n v="680"/>
    <n v="385"/>
    <n v="64125"/>
    <n v="63650"/>
    <n v="104"/>
    <s v="#TeslaCoInnovation"/>
    <s v="SustainabilityDrive"/>
    <n v="8.3274853801169585E-2"/>
  </r>
  <r>
    <s v="P280"/>
    <x v="1"/>
    <d v="2024-10-21T00:00:00"/>
    <x v="5"/>
    <s v="Check out our latest video on youtube!"/>
    <n v="4275"/>
    <n v="680"/>
    <n v="385"/>
    <n v="64125"/>
    <n v="63650"/>
    <n v="104"/>
    <s v="#AnytimeIsTeslaTime"/>
    <s v="SustainabilityDrive"/>
    <n v="8.3274853801169585E-2"/>
  </r>
  <r>
    <s v="P281"/>
    <x v="1"/>
    <d v="2025-03-22T00:00:00"/>
    <x v="4"/>
    <s v="Check out our latest image on youtube!"/>
    <n v="3166"/>
    <n v="90"/>
    <n v="341"/>
    <n v="56988"/>
    <n v="56125"/>
    <n v="135"/>
    <s v="#EVRevolution"/>
    <s v="ModelYCampaign"/>
    <n v="6.3118551273952411E-2"/>
  </r>
  <r>
    <s v="P282"/>
    <x v="2"/>
    <d v="2024-10-03T00:00:00"/>
    <x v="5"/>
    <s v="Check out our latest video on instagram!"/>
    <n v="1488"/>
    <n v="417"/>
    <n v="168"/>
    <n v="19344"/>
    <n v="18395"/>
    <n v="30"/>
    <s v="#FutureOfDriving"/>
    <s v="FSDUpdate"/>
    <n v="0.1071650124069479"/>
  </r>
  <r>
    <s v="P283"/>
    <x v="0"/>
    <d v="2025-05-09T00:00:00"/>
    <x v="0"/>
    <s v="Check out our latest reel on twitter!"/>
    <n v="3367"/>
    <n v="302"/>
    <n v="57"/>
    <n v="63973"/>
    <n v="63789"/>
    <n v="157"/>
    <s v="#FutureOfDriving"/>
    <s v="ModelYCampaign"/>
    <n v="5.8243321401216137E-2"/>
  </r>
  <r>
    <s v="P284"/>
    <x v="0"/>
    <d v="2024-09-17T00:00:00"/>
    <x v="1"/>
    <s v="Check out our latest text on twitter!"/>
    <n v="571"/>
    <n v="190"/>
    <n v="352"/>
    <n v="9707"/>
    <n v="9418"/>
    <n v="231"/>
    <s v="#TeslaCoInnovation"/>
    <s v="SustainabilityDrive"/>
    <n v="0.11465952405480581"/>
  </r>
  <r>
    <s v="P285"/>
    <x v="1"/>
    <d v="2024-07-18T00:00:00"/>
    <x v="1"/>
    <s v="Check out our latest text on youtube!"/>
    <n v="4021"/>
    <n v="794"/>
    <n v="77"/>
    <n v="36189"/>
    <n v="35505"/>
    <n v="174"/>
    <s v="#EVRevolution"/>
    <m/>
    <n v="0.13517919809886983"/>
  </r>
  <r>
    <s v="P286"/>
    <x v="1"/>
    <d v="2024-09-25T00:00:00"/>
    <x v="5"/>
    <s v="Check out our latest video on youtube!"/>
    <n v="3389"/>
    <n v="344"/>
    <n v="229"/>
    <n v="20334"/>
    <n v="19443"/>
    <n v="228"/>
    <s v="#FutureOfDriving"/>
    <s v="FSDUpdate"/>
    <n v="0.19484607062063539"/>
  </r>
  <r>
    <s v="P287"/>
    <x v="2"/>
    <d v="2024-08-15T00:00:00"/>
    <x v="0"/>
    <s v="Check out our latest reel on instagram!"/>
    <n v="1164"/>
    <n v="616"/>
    <n v="324"/>
    <n v="6984"/>
    <n v="6636"/>
    <n v="82"/>
    <s v="#EVRevolution"/>
    <s v="CybertruckLaunch"/>
    <n v="0.30126002290950743"/>
  </r>
  <r>
    <s v="P288"/>
    <x v="1"/>
    <d v="2025-04-17T00:00:00"/>
    <x v="3"/>
    <s v="Check out our latest carousel on youtube!"/>
    <n v="4780"/>
    <n v="691"/>
    <n v="380"/>
    <n v="86040"/>
    <n v="85743"/>
    <n v="262"/>
    <s v="#FutureOfDriving"/>
    <s v="FSDUpdate"/>
    <n v="6.800325430032543E-2"/>
  </r>
  <r>
    <s v="P289"/>
    <x v="3"/>
    <d v="2024-11-28T00:00:00"/>
    <x v="3"/>
    <s v="Check out our latest carousel on facebook!"/>
    <n v="2751"/>
    <n v="33"/>
    <n v="430"/>
    <n v="44016"/>
    <n v="43415"/>
    <n v="129"/>
    <s v="#FutureOfDriving"/>
    <m/>
    <n v="7.3018902217375503E-2"/>
  </r>
  <r>
    <s v="P290"/>
    <x v="2"/>
    <d v="2024-12-20T00:00:00"/>
    <x v="3"/>
    <s v="Check out our latest carousel on instagram!"/>
    <n v="2107"/>
    <n v="550"/>
    <n v="349"/>
    <n v="35819"/>
    <n v="35340"/>
    <n v="191"/>
    <s v="#EVRevolution"/>
    <s v="SustainabilityDrive"/>
    <n v="8.3921940869371006E-2"/>
  </r>
  <r>
    <s v="P291"/>
    <x v="3"/>
    <d v="2024-11-06T00:00:00"/>
    <x v="5"/>
    <s v="Check out our latest video on facebook!"/>
    <n v="4663"/>
    <n v="145"/>
    <n v="225"/>
    <n v="69945"/>
    <n v="69596"/>
    <n v="35"/>
    <s v="#EVRevolution"/>
    <s v="SustainabilityDrive"/>
    <n v="7.1956537279290869E-2"/>
  </r>
  <r>
    <s v="P292"/>
    <x v="3"/>
    <d v="2024-11-17T00:00:00"/>
    <x v="1"/>
    <s v="Check out our latest text on facebook!"/>
    <n v="880"/>
    <n v="297"/>
    <n v="345"/>
    <n v="12320"/>
    <n v="11978"/>
    <n v="238"/>
    <s v="#TeslaCoInnovation"/>
    <m/>
    <n v="0.12353896103896105"/>
  </r>
  <r>
    <s v="P292"/>
    <x v="3"/>
    <d v="2024-11-17T00:00:00"/>
    <x v="1"/>
    <s v="Check out our latest text on facebook!"/>
    <n v="880"/>
    <n v="297"/>
    <n v="345"/>
    <n v="12320"/>
    <n v="11978"/>
    <n v="238"/>
    <s v="#AnytimeIsTeslaTime"/>
    <m/>
    <n v="0.12353896103896105"/>
  </r>
  <r>
    <s v="P293"/>
    <x v="3"/>
    <d v="2025-05-14T00:00:00"/>
    <x v="1"/>
    <s v="Check out our latest text on facebook!"/>
    <n v="2634"/>
    <n v="726"/>
    <n v="241"/>
    <n v="28974"/>
    <n v="28102"/>
    <n v="277"/>
    <s v="#EVRevolution"/>
    <s v="CybertruckLaunch"/>
    <n v="0.12428384068475185"/>
  </r>
  <r>
    <s v="P294"/>
    <x v="3"/>
    <d v="2024-06-19T00:00:00"/>
    <x v="3"/>
    <s v="Check out our latest carousel on facebook!"/>
    <n v="4731"/>
    <n v="173"/>
    <n v="276"/>
    <n v="28386"/>
    <n v="28185"/>
    <n v="89"/>
    <s v="#EVRevolution"/>
    <s v="FSDUpdate"/>
    <n v="0.18248432325794406"/>
  </r>
  <r>
    <s v="P295"/>
    <x v="0"/>
    <d v="2025-05-06T00:00:00"/>
    <x v="4"/>
    <s v="Check out our latest image on twitter!"/>
    <n v="1952"/>
    <n v="344"/>
    <n v="287"/>
    <n v="15616"/>
    <n v="15403"/>
    <n v="235"/>
    <s v="#FutureOfDriving"/>
    <s v="ModelYCampaign"/>
    <n v="0.16540727459016394"/>
  </r>
  <r>
    <s v="P295"/>
    <x v="0"/>
    <d v="2025-05-06T00:00:00"/>
    <x v="4"/>
    <s v="Check out our latest image on twitter!"/>
    <n v="1952"/>
    <n v="344"/>
    <n v="287"/>
    <n v="15616"/>
    <n v="15403"/>
    <n v="235"/>
    <s v="#TeslaCoInnovation"/>
    <s v="ModelYCampaign"/>
    <n v="0.16540727459016394"/>
  </r>
  <r>
    <s v="P295"/>
    <x v="0"/>
    <d v="2025-05-06T00:00:00"/>
    <x v="4"/>
    <s v="Check out our latest image on twitter!"/>
    <n v="1952"/>
    <n v="344"/>
    <n v="287"/>
    <n v="15616"/>
    <n v="15403"/>
    <n v="235"/>
    <s v="#AnytimeIsTeslaTime"/>
    <s v="ModelYCampaign"/>
    <n v="0.16540727459016394"/>
  </r>
  <r>
    <s v="P296"/>
    <x v="0"/>
    <d v="2025-02-11T00:00:00"/>
    <x v="5"/>
    <s v="Check out our latest video on twitter!"/>
    <n v="3440"/>
    <n v="13"/>
    <n v="20"/>
    <n v="58480"/>
    <n v="58146"/>
    <n v="210"/>
    <s v="#TeslaCoInnovation"/>
    <s v="SustainabilityDrive"/>
    <n v="5.9387824897400819E-2"/>
  </r>
  <r>
    <s v="P296"/>
    <x v="0"/>
    <d v="2025-02-11T00:00:00"/>
    <x v="5"/>
    <s v="Check out our latest video on twitter!"/>
    <n v="3440"/>
    <n v="13"/>
    <n v="20"/>
    <n v="58480"/>
    <n v="58146"/>
    <n v="210"/>
    <s v="#SmoothLikeNitroTesla"/>
    <s v="SustainabilityDrive"/>
    <n v="5.9387824897400819E-2"/>
  </r>
  <r>
    <s v="P297"/>
    <x v="0"/>
    <d v="2024-12-24T00:00:00"/>
    <x v="1"/>
    <s v="Check out our latest text on twitter!"/>
    <n v="2166"/>
    <n v="354"/>
    <n v="117"/>
    <n v="10830"/>
    <n v="10245"/>
    <n v="24"/>
    <s v="#EVRevolution"/>
    <s v="SustainabilityDrive"/>
    <n v="0.24349030470914126"/>
  </r>
  <r>
    <s v="P298"/>
    <x v="3"/>
    <d v="2024-10-24T00:00:00"/>
    <x v="4"/>
    <s v="Check out our latest image on facebook!"/>
    <n v="4303"/>
    <n v="451"/>
    <n v="286"/>
    <n v="86060"/>
    <n v="85823"/>
    <n v="14"/>
    <s v="#TeslaCoInnovation"/>
    <s v="FSDUpdate"/>
    <n v="5.8563792702765516E-2"/>
  </r>
  <r>
    <s v="P299"/>
    <x v="3"/>
    <d v="2024-08-26T00:00:00"/>
    <x v="4"/>
    <s v="Check out our latest image on facebook!"/>
    <n v="2581"/>
    <n v="517"/>
    <n v="117"/>
    <n v="23229"/>
    <n v="22331"/>
    <n v="70"/>
    <s v="#FutureOfDriving"/>
    <s v="FSDUpdate"/>
    <n v="0.13840458048129492"/>
  </r>
  <r>
    <s v="P300"/>
    <x v="0"/>
    <d v="2024-08-31T00:00:00"/>
    <x v="3"/>
    <s v="Check out our latest carousel on twitter!"/>
    <n v="4494"/>
    <n v="717"/>
    <n v="45"/>
    <n v="62916"/>
    <n v="62688"/>
    <n v="191"/>
    <s v="#TeslaCoInnovation"/>
    <s v="CybertruckLaunch"/>
    <n v="8.3539958039290485E-2"/>
  </r>
  <r>
    <s v="P300"/>
    <x v="0"/>
    <d v="2024-08-31T00:00:00"/>
    <x v="3"/>
    <s v="Check out our latest carousel on twitter!"/>
    <n v="4494"/>
    <n v="717"/>
    <n v="45"/>
    <n v="62916"/>
    <n v="62688"/>
    <n v="191"/>
    <s v="#EVRevolution"/>
    <s v="CybertruckLaunch"/>
    <n v="8.3539958039290485E-2"/>
  </r>
  <r>
    <s v="P300"/>
    <x v="0"/>
    <d v="2024-08-31T00:00:00"/>
    <x v="3"/>
    <s v="Check out our latest carousel on twitter!"/>
    <n v="4494"/>
    <n v="717"/>
    <n v="45"/>
    <n v="62916"/>
    <n v="62688"/>
    <n v="191"/>
    <s v="#BetterWithTesla"/>
    <s v="CybertruckLaunch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54BDE-29BB-478E-B2FB-057C7044B0E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2" firstHeaderRow="1" firstDataRow="1" firstDataCol="1"/>
  <pivotFields count="1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1"/>
        <item x="3"/>
        <item x="4"/>
        <item x="0"/>
        <item x="5"/>
        <item x="2"/>
        <item t="default"/>
      </items>
    </pivotField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licks" fld="10" subtotal="average" baseField="11" baseItem="0" numFmtId="2"/>
  </dataFields>
  <formats count="2">
    <format dxfId="4">
      <pivotArea collapsedLevelsAreSubtotals="1" fieldPosition="0">
        <references count="1">
          <reference field="11" count="3">
            <x v="0"/>
            <x v="1"/>
            <x v="2"/>
          </reference>
        </references>
      </pivotArea>
    </format>
    <format dxfId="3">
      <pivotArea dataOnly="0" labelOnly="1" fieldPosition="0">
        <references count="1">
          <reference field="11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22D50-CE0E-490E-AB30-331C432EE3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P12" firstHeaderRow="1" firstDataRow="3" firstDataCol="1"/>
  <pivotFields count="13">
    <pivotField compact="0" showAll="0"/>
    <pivotField axis="axisCol" compact="0" showAll="0">
      <items count="5">
        <item x="3"/>
        <item x="2"/>
        <item x="0"/>
        <item x="1"/>
        <item t="default"/>
      </items>
    </pivotField>
    <pivotField compact="0" showAll="0"/>
    <pivotField axis="axisRow" compact="0" showAll="0">
      <items count="7">
        <item x="3"/>
        <item x="4"/>
        <item x="0"/>
        <item x="2"/>
        <item x="1"/>
        <item x="5"/>
        <item t="default"/>
      </items>
    </pivotField>
    <pivotField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  <pivotField compact="0" showAll="0">
      <items count="192">
        <item x="98"/>
        <item x="50"/>
        <item x="88"/>
        <item x="189"/>
        <item x="0"/>
        <item x="86"/>
        <item x="17"/>
        <item x="14"/>
        <item x="72"/>
        <item x="111"/>
        <item x="157"/>
        <item x="188"/>
        <item x="19"/>
        <item x="74"/>
        <item x="182"/>
        <item x="35"/>
        <item x="92"/>
        <item x="49"/>
        <item x="187"/>
        <item x="36"/>
        <item x="132"/>
        <item x="7"/>
        <item x="97"/>
        <item x="175"/>
        <item x="165"/>
        <item x="66"/>
        <item x="99"/>
        <item x="178"/>
        <item x="84"/>
        <item x="124"/>
        <item x="146"/>
        <item x="26"/>
        <item x="51"/>
        <item x="131"/>
        <item x="156"/>
        <item x="101"/>
        <item x="180"/>
        <item x="53"/>
        <item x="176"/>
        <item x="71"/>
        <item x="125"/>
        <item x="10"/>
        <item x="119"/>
        <item x="190"/>
        <item x="140"/>
        <item x="64"/>
        <item x="60"/>
        <item x="121"/>
        <item x="27"/>
        <item x="185"/>
        <item x="20"/>
        <item x="57"/>
        <item x="145"/>
        <item x="15"/>
        <item x="68"/>
        <item x="155"/>
        <item x="102"/>
        <item x="37"/>
        <item x="29"/>
        <item x="44"/>
        <item x="70"/>
        <item x="63"/>
        <item x="109"/>
        <item x="18"/>
        <item x="130"/>
        <item x="48"/>
        <item x="32"/>
        <item x="12"/>
        <item x="1"/>
        <item x="160"/>
        <item x="46"/>
        <item x="128"/>
        <item x="161"/>
        <item x="123"/>
        <item x="52"/>
        <item x="59"/>
        <item x="45"/>
        <item x="3"/>
        <item x="151"/>
        <item x="114"/>
        <item x="8"/>
        <item x="129"/>
        <item x="21"/>
        <item x="152"/>
        <item x="41"/>
        <item x="107"/>
        <item x="120"/>
        <item x="143"/>
        <item x="117"/>
        <item x="58"/>
        <item x="65"/>
        <item x="83"/>
        <item x="135"/>
        <item x="105"/>
        <item x="108"/>
        <item x="16"/>
        <item x="168"/>
        <item x="23"/>
        <item x="85"/>
        <item x="159"/>
        <item x="9"/>
        <item x="54"/>
        <item x="110"/>
        <item x="150"/>
        <item x="172"/>
        <item x="87"/>
        <item x="56"/>
        <item x="43"/>
        <item x="47"/>
        <item x="80"/>
        <item x="94"/>
        <item x="62"/>
        <item x="103"/>
        <item x="112"/>
        <item x="126"/>
        <item x="170"/>
        <item x="186"/>
        <item x="142"/>
        <item x="166"/>
        <item x="144"/>
        <item x="79"/>
        <item x="149"/>
        <item x="91"/>
        <item x="76"/>
        <item x="163"/>
        <item x="2"/>
        <item x="39"/>
        <item x="138"/>
        <item x="95"/>
        <item x="167"/>
        <item x="25"/>
        <item x="90"/>
        <item x="11"/>
        <item x="33"/>
        <item x="42"/>
        <item x="162"/>
        <item x="100"/>
        <item x="28"/>
        <item x="89"/>
        <item x="4"/>
        <item x="22"/>
        <item x="171"/>
        <item x="67"/>
        <item x="184"/>
        <item x="134"/>
        <item x="77"/>
        <item x="183"/>
        <item x="106"/>
        <item x="116"/>
        <item x="6"/>
        <item x="82"/>
        <item x="173"/>
        <item x="24"/>
        <item x="137"/>
        <item x="118"/>
        <item x="40"/>
        <item x="78"/>
        <item x="127"/>
        <item x="133"/>
        <item x="154"/>
        <item x="164"/>
        <item x="139"/>
        <item x="158"/>
        <item x="169"/>
        <item x="69"/>
        <item x="5"/>
        <item x="55"/>
        <item x="104"/>
        <item x="13"/>
        <item x="73"/>
        <item x="177"/>
        <item x="96"/>
        <item x="34"/>
        <item x="113"/>
        <item x="31"/>
        <item x="115"/>
        <item x="181"/>
        <item x="30"/>
        <item x="75"/>
        <item x="148"/>
        <item x="153"/>
        <item x="147"/>
        <item x="61"/>
        <item x="122"/>
        <item x="136"/>
        <item x="174"/>
        <item x="179"/>
        <item x="81"/>
        <item x="93"/>
        <item x="38"/>
        <item x="141"/>
        <item t="default"/>
      </items>
    </pivotField>
    <pivotField compact="0" showAll="0"/>
    <pivotField compact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Comments" fld="7" baseField="0" baseItem="0"/>
    <dataField name="Sum of Shares" fld="6" baseField="0" baseItem="0"/>
  </dataFields>
  <pivotTableStyleInfo name="PivotStyleDark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95162-2CFA-4D43-8B19-5302DE082FAD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O10" firstHeaderRow="0" firstDataRow="1" firstDataCol="1"/>
  <pivotFields count="7">
    <pivotField showAll="0"/>
    <pivotField axis="axisRow" showAll="0" measureFilter="1">
      <items count="5">
        <item x="3"/>
        <item x="2"/>
        <item x="0"/>
        <item x="1"/>
        <item t="default"/>
      </items>
    </pivotField>
    <pivotField dataField="1" numFmtId="3" showAll="0"/>
    <pivotField dataField="1" showAll="0"/>
    <pivotField dataField="1" showAll="0"/>
    <pivotField dataField="1" numFmtId="3"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Likes" fld="2" baseField="0" baseItem="0" numFmtId="3"/>
    <dataField name="Sum of Shares" fld="3" baseField="0" baseItem="0"/>
    <dataField name="Sum of Comments" fld="4" baseField="0" baseItem="0"/>
    <dataField name="Sum of Impressions" fld="5" baseField="0" baseItem="0" numFmtId="3"/>
    <dataField name="Average of Average Engagement Rate" fld="6" subtotal="average" baseField="1" baseItem="0" numFmtId="2"/>
  </dataFields>
  <formats count="2">
    <format dxfId="6">
      <pivotArea collapsedLevelsAreSubtotals="1" fieldPosition="0">
        <references count="1">
          <reference field="1" count="1">
            <x v="1"/>
          </reference>
        </references>
      </pivotArea>
    </format>
    <format dxfId="5">
      <pivotArea dataOnly="0" labelOnly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3" iMeasureFld="4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AAC14-85B2-403A-89E2-112766C2B97F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C57" firstHeaderRow="0" firstDataRow="1" firstDataCol="1"/>
  <pivotFields count="14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</pivotFields>
  <rowFields count="2">
    <field x="1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 Rate" fld="13" subtotal="average" baseField="1" baseItem="0" numFmtId="10"/>
    <dataField name="Count of Engagement Rate" fld="1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9EC7B-EE98-437B-8F0B-C321C31E5DD2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28:H53" firstHeaderRow="0" firstDataRow="1" firstDataCol="2"/>
  <pivotFields count="14">
    <pivotField compact="0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compact="0" numFmtId="14" outline="0" showAll="0"/>
    <pivotField axis="axisRow" compact="0" outline="0" showAll="0">
      <items count="7">
        <item x="3"/>
        <item x="4"/>
        <item x="0"/>
        <item x="2"/>
        <item h="1"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</pivotFields>
  <rowFields count="2">
    <field x="1"/>
    <field x="3"/>
  </rowFields>
  <rowItems count="25">
    <i>
      <x/>
      <x/>
    </i>
    <i r="1">
      <x v="1"/>
    </i>
    <i r="1">
      <x v="2"/>
    </i>
    <i r="1">
      <x v="3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5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 Rate" fld="13" subtotal="average" baseField="1" baseItem="0" numFmtId="10"/>
    <dataField name="Count of Engagement Rate" fld="1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9A634D-AAFE-44DD-93FB-65A7DC0E1D49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D6452A-1F52-424C-B1AF-25F89B868F09}" name="Table10_1" displayName="Table10_1" ref="A1:N340" tableType="queryTable" totalsRowShown="0">
  <autoFilter ref="A1:N340" xr:uid="{0CD6452A-1F52-424C-B1AF-25F89B868F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127826A-48DA-424F-A3AF-F55718EBEAC6}" uniqueName="1" name="Post ID" queryTableFieldId="1" dataDxfId="14"/>
    <tableColumn id="2" xr3:uid="{1D958319-6932-4111-8EF0-CB1B60D8EDA0}" uniqueName="2" name="Platform" queryTableFieldId="2" dataDxfId="13"/>
    <tableColumn id="3" xr3:uid="{596CF0E2-CF8C-490F-8AC8-0F93A9CF72E2}" uniqueName="3" name="Date" queryTableFieldId="3" dataDxfId="12"/>
    <tableColumn id="4" xr3:uid="{FBD9F6F7-A4FC-42C2-9625-8B52B6B7EEE0}" uniqueName="4" name="Content Type" queryTableFieldId="4" dataDxfId="11"/>
    <tableColumn id="5" xr3:uid="{49B06AAD-3875-4475-B98C-5433AD268789}" uniqueName="5" name="Post Text" queryTableFieldId="5" dataDxfId="10"/>
    <tableColumn id="6" xr3:uid="{865A02DF-6904-40E6-BFAF-B077FFC327AF}" uniqueName="6" name="Likes" queryTableFieldId="6"/>
    <tableColumn id="7" xr3:uid="{FF826BF0-10E6-48CA-B3A0-476593CA759B}" uniqueName="7" name="Shares" queryTableFieldId="7"/>
    <tableColumn id="8" xr3:uid="{A924F01A-7762-47CD-AC3E-F88C93B9DD77}" uniqueName="8" name="Comments" queryTableFieldId="8"/>
    <tableColumn id="9" xr3:uid="{1FDE55C9-F266-4CBC-B68B-15DDC4415111}" uniqueName="9" name="Impressions" queryTableFieldId="9"/>
    <tableColumn id="10" xr3:uid="{65F30896-BE45-41A7-83A5-A0DCBE9CE14F}" uniqueName="10" name="Reach" queryTableFieldId="10"/>
    <tableColumn id="11" xr3:uid="{6714912E-0D1B-436F-B250-64C4B4EFD54C}" uniqueName="11" name="Clicks" queryTableFieldId="11"/>
    <tableColumn id="12" xr3:uid="{C4F34213-C734-4CC4-9FD9-4F0D5C6E6222}" uniqueName="12" name="Hashtags Used" queryTableFieldId="12" dataDxfId="9"/>
    <tableColumn id="13" xr3:uid="{573D48AF-849E-4DD5-B392-3A6CBFEE4559}" uniqueName="13" name="Campaign_Name" queryTableFieldId="13" dataDxfId="8"/>
    <tableColumn id="14" xr3:uid="{9C4E01CF-E5A7-4EC9-8D2A-7B831699FA3D}" uniqueName="14" name="Engagement Rate" queryTableFieldId="14" dataDxfId="7">
      <calculatedColumnFormula>(Table10_1[[#This Row],[Likes]]+Table10_1[[#This Row],[Shares]]+Table10_1[[#This Row],[Comments]])/Table10_1[[#This Row],[Impressions]]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b16b25ad77f043f2b93d21ea62892d6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5644-17C2-44B6-9FA6-F98DDC45269D}">
  <dimension ref="A1:N1000"/>
  <sheetViews>
    <sheetView topLeftCell="E1" workbookViewId="0">
      <selection activeCell="L3" sqref="L3"/>
    </sheetView>
  </sheetViews>
  <sheetFormatPr defaultColWidth="14.42578125" defaultRowHeight="15" customHeight="1" x14ac:dyDescent="0.25"/>
  <cols>
    <col min="1" max="1" width="9.5703125" customWidth="1"/>
    <col min="2" max="2" width="10.85546875" customWidth="1"/>
    <col min="3" max="3" width="13.28515625" customWidth="1"/>
    <col min="4" max="4" width="15.28515625" customWidth="1"/>
    <col min="5" max="5" width="41.28515625" customWidth="1"/>
    <col min="6" max="6" width="8.7109375" customWidth="1"/>
    <col min="7" max="7" width="9.28515625" customWidth="1"/>
    <col min="8" max="8" width="15" customWidth="1"/>
    <col min="9" max="9" width="14.5703125" customWidth="1"/>
    <col min="10" max="11" width="8.7109375" customWidth="1"/>
    <col min="12" max="12" width="38.28515625" customWidth="1"/>
    <col min="13" max="13" width="20.42578125" customWidth="1"/>
    <col min="14" max="14" width="18.5703125" customWidth="1"/>
    <col min="15" max="26" width="8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5" t="s">
        <v>437</v>
      </c>
    </row>
    <row r="2" spans="1:14" x14ac:dyDescent="0.25">
      <c r="A2" s="2" t="s">
        <v>13</v>
      </c>
      <c r="B2" s="2" t="s">
        <v>14</v>
      </c>
      <c r="C2" s="4">
        <v>45649</v>
      </c>
      <c r="D2" s="2" t="s">
        <v>15</v>
      </c>
      <c r="E2" s="2" t="s">
        <v>16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17</v>
      </c>
      <c r="M2" s="2" t="s">
        <v>18</v>
      </c>
      <c r="N2" s="37">
        <f>(F2+G2+H2)/I2</f>
        <v>9.0759753593429152E-2</v>
      </c>
    </row>
    <row r="3" spans="1:14" x14ac:dyDescent="0.25">
      <c r="A3" s="2" t="s">
        <v>19</v>
      </c>
      <c r="B3" s="2" t="s">
        <v>14</v>
      </c>
      <c r="C3" s="4">
        <v>45750</v>
      </c>
      <c r="D3" s="2" t="s">
        <v>20</v>
      </c>
      <c r="E3" s="2" t="s">
        <v>21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22</v>
      </c>
      <c r="M3" s="2" t="s">
        <v>23</v>
      </c>
      <c r="N3" s="37">
        <f t="shared" ref="N3:N66" si="0">(F3+G3+H3)/I3</f>
        <v>7.6097681302417369E-2</v>
      </c>
    </row>
    <row r="4" spans="1:14" x14ac:dyDescent="0.25">
      <c r="A4" s="2" t="s">
        <v>24</v>
      </c>
      <c r="B4" s="2" t="s">
        <v>25</v>
      </c>
      <c r="C4" s="4">
        <v>45789</v>
      </c>
      <c r="D4" s="2" t="s">
        <v>15</v>
      </c>
      <c r="E4" s="2" t="s">
        <v>26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27</v>
      </c>
      <c r="M4" s="2" t="s">
        <v>28</v>
      </c>
      <c r="N4" s="37">
        <f t="shared" si="0"/>
        <v>5.5531494209584788E-2</v>
      </c>
    </row>
    <row r="5" spans="1:14" x14ac:dyDescent="0.25">
      <c r="A5" s="2" t="s">
        <v>29</v>
      </c>
      <c r="B5" s="2" t="s">
        <v>30</v>
      </c>
      <c r="C5" s="4">
        <v>45516</v>
      </c>
      <c r="D5" s="2" t="s">
        <v>31</v>
      </c>
      <c r="E5" s="2" t="s">
        <v>32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33</v>
      </c>
      <c r="M5" s="2" t="s">
        <v>34</v>
      </c>
      <c r="N5" s="37">
        <f t="shared" si="0"/>
        <v>0.15105033277870217</v>
      </c>
    </row>
    <row r="6" spans="1:14" x14ac:dyDescent="0.25">
      <c r="A6" s="2" t="s">
        <v>35</v>
      </c>
      <c r="B6" s="2" t="s">
        <v>25</v>
      </c>
      <c r="C6" s="4">
        <v>45469</v>
      </c>
      <c r="D6" s="2" t="s">
        <v>15</v>
      </c>
      <c r="E6" s="2" t="s">
        <v>26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36</v>
      </c>
      <c r="M6" s="2" t="s">
        <v>18</v>
      </c>
      <c r="N6" s="37">
        <f t="shared" si="0"/>
        <v>6.5617093055946027E-2</v>
      </c>
    </row>
    <row r="7" spans="1:14" x14ac:dyDescent="0.25">
      <c r="A7" s="2" t="s">
        <v>37</v>
      </c>
      <c r="B7" s="2" t="s">
        <v>38</v>
      </c>
      <c r="C7" s="4">
        <v>45596</v>
      </c>
      <c r="D7" s="2" t="s">
        <v>39</v>
      </c>
      <c r="E7" s="2" t="s">
        <v>40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27</v>
      </c>
      <c r="M7" s="2" t="s">
        <v>23</v>
      </c>
      <c r="N7" s="37">
        <f t="shared" si="0"/>
        <v>0.17954159592529711</v>
      </c>
    </row>
    <row r="8" spans="1:14" x14ac:dyDescent="0.25">
      <c r="A8" s="2" t="s">
        <v>41</v>
      </c>
      <c r="B8" s="2" t="s">
        <v>14</v>
      </c>
      <c r="C8" s="4">
        <v>45467</v>
      </c>
      <c r="D8" s="2" t="s">
        <v>39</v>
      </c>
      <c r="E8" s="2" t="s">
        <v>42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27</v>
      </c>
      <c r="M8" s="2" t="s">
        <v>23</v>
      </c>
      <c r="N8" s="37">
        <f t="shared" si="0"/>
        <v>7.0272020725388601E-2</v>
      </c>
    </row>
    <row r="9" spans="1:14" x14ac:dyDescent="0.25">
      <c r="A9" s="2" t="s">
        <v>43</v>
      </c>
      <c r="B9" s="2" t="s">
        <v>25</v>
      </c>
      <c r="C9" s="4">
        <v>45486</v>
      </c>
      <c r="D9" s="2" t="s">
        <v>44</v>
      </c>
      <c r="E9" s="2" t="s">
        <v>45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33</v>
      </c>
      <c r="M9" s="2" t="s">
        <v>34</v>
      </c>
      <c r="N9" s="37">
        <f t="shared" si="0"/>
        <v>0.10340359564080613</v>
      </c>
    </row>
    <row r="10" spans="1:14" x14ac:dyDescent="0.25">
      <c r="A10" s="2" t="s">
        <v>46</v>
      </c>
      <c r="B10" s="2" t="s">
        <v>38</v>
      </c>
      <c r="C10" s="4">
        <v>45534</v>
      </c>
      <c r="D10" s="2" t="s">
        <v>20</v>
      </c>
      <c r="E10" s="2" t="s">
        <v>47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27</v>
      </c>
      <c r="M10" s="2" t="s">
        <v>23</v>
      </c>
      <c r="N10" s="37">
        <f t="shared" si="0"/>
        <v>8.8019732205778717E-2</v>
      </c>
    </row>
    <row r="11" spans="1:14" x14ac:dyDescent="0.25">
      <c r="A11" s="2" t="s">
        <v>48</v>
      </c>
      <c r="B11" s="2" t="s">
        <v>38</v>
      </c>
      <c r="C11" s="4">
        <v>45727</v>
      </c>
      <c r="D11" s="2" t="s">
        <v>44</v>
      </c>
      <c r="E11" s="2" t="s">
        <v>49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27</v>
      </c>
      <c r="M11" s="2" t="s">
        <v>23</v>
      </c>
      <c r="N11" s="37">
        <f t="shared" si="0"/>
        <v>7.198635172059864E-2</v>
      </c>
    </row>
    <row r="12" spans="1:14" x14ac:dyDescent="0.25">
      <c r="A12" s="2" t="s">
        <v>50</v>
      </c>
      <c r="B12" s="2" t="s">
        <v>30</v>
      </c>
      <c r="C12" s="4">
        <v>45690</v>
      </c>
      <c r="D12" s="2" t="s">
        <v>31</v>
      </c>
      <c r="E12" s="2" t="s">
        <v>32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51</v>
      </c>
      <c r="M12" s="2" t="s">
        <v>34</v>
      </c>
      <c r="N12" s="37">
        <f t="shared" si="0"/>
        <v>0.11571269132653061</v>
      </c>
    </row>
    <row r="13" spans="1:14" x14ac:dyDescent="0.25">
      <c r="A13" s="2" t="s">
        <v>52</v>
      </c>
      <c r="B13" s="2" t="s">
        <v>38</v>
      </c>
      <c r="C13" s="4">
        <v>45494</v>
      </c>
      <c r="D13" s="2" t="s">
        <v>15</v>
      </c>
      <c r="E13" s="2" t="s">
        <v>53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51</v>
      </c>
      <c r="M13" s="2" t="s">
        <v>28</v>
      </c>
      <c r="N13" s="37">
        <f t="shared" si="0"/>
        <v>0.12885405960945528</v>
      </c>
    </row>
    <row r="14" spans="1:14" x14ac:dyDescent="0.25">
      <c r="A14" s="2" t="s">
        <v>54</v>
      </c>
      <c r="B14" s="2" t="s">
        <v>25</v>
      </c>
      <c r="C14" s="4">
        <v>45614</v>
      </c>
      <c r="D14" s="2" t="s">
        <v>39</v>
      </c>
      <c r="E14" s="2" t="s">
        <v>55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33</v>
      </c>
      <c r="M14" s="2" t="s">
        <v>18</v>
      </c>
      <c r="N14" s="37">
        <f t="shared" si="0"/>
        <v>7.5868578363072495E-2</v>
      </c>
    </row>
    <row r="15" spans="1:14" x14ac:dyDescent="0.25">
      <c r="A15" s="2" t="s">
        <v>56</v>
      </c>
      <c r="B15" s="2" t="s">
        <v>38</v>
      </c>
      <c r="C15" s="4">
        <v>45704</v>
      </c>
      <c r="D15" s="2" t="s">
        <v>31</v>
      </c>
      <c r="E15" s="2" t="s">
        <v>57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51</v>
      </c>
      <c r="N15" s="37">
        <f t="shared" si="0"/>
        <v>0.14521452145214522</v>
      </c>
    </row>
    <row r="16" spans="1:14" x14ac:dyDescent="0.25">
      <c r="A16" s="2" t="s">
        <v>58</v>
      </c>
      <c r="B16" s="2" t="s">
        <v>38</v>
      </c>
      <c r="C16" s="4">
        <v>45589</v>
      </c>
      <c r="D16" s="2" t="s">
        <v>59</v>
      </c>
      <c r="E16" s="2" t="s">
        <v>60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51</v>
      </c>
      <c r="M16" s="2" t="s">
        <v>18</v>
      </c>
      <c r="N16" s="37">
        <f t="shared" si="0"/>
        <v>5.941358024691358E-2</v>
      </c>
    </row>
    <row r="17" spans="1:14" x14ac:dyDescent="0.25">
      <c r="A17" s="2" t="s">
        <v>61</v>
      </c>
      <c r="B17" s="2" t="s">
        <v>38</v>
      </c>
      <c r="C17" s="4">
        <v>45530</v>
      </c>
      <c r="D17" s="2" t="s">
        <v>20</v>
      </c>
      <c r="E17" s="2" t="s">
        <v>47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51</v>
      </c>
      <c r="M17" s="2" t="s">
        <v>28</v>
      </c>
      <c r="N17" s="37">
        <f t="shared" si="0"/>
        <v>7.5843713789107758E-2</v>
      </c>
    </row>
    <row r="18" spans="1:14" x14ac:dyDescent="0.25">
      <c r="A18" s="2" t="s">
        <v>62</v>
      </c>
      <c r="B18" s="2" t="s">
        <v>38</v>
      </c>
      <c r="C18" s="4">
        <v>45782</v>
      </c>
      <c r="D18" s="2" t="s">
        <v>20</v>
      </c>
      <c r="E18" s="2" t="s">
        <v>47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33</v>
      </c>
      <c r="M18" s="2" t="s">
        <v>34</v>
      </c>
      <c r="N18" s="37">
        <f t="shared" si="0"/>
        <v>9.4235532537716729E-2</v>
      </c>
    </row>
    <row r="19" spans="1:14" x14ac:dyDescent="0.25">
      <c r="A19" s="2" t="s">
        <v>63</v>
      </c>
      <c r="B19" s="2" t="s">
        <v>30</v>
      </c>
      <c r="C19" s="4">
        <v>45523</v>
      </c>
      <c r="D19" s="2" t="s">
        <v>15</v>
      </c>
      <c r="E19" s="2" t="s">
        <v>64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51</v>
      </c>
      <c r="M19" s="2" t="s">
        <v>18</v>
      </c>
      <c r="N19" s="37">
        <f t="shared" si="0"/>
        <v>0.10297222222222223</v>
      </c>
    </row>
    <row r="20" spans="1:14" x14ac:dyDescent="0.25">
      <c r="A20" s="2" t="s">
        <v>65</v>
      </c>
      <c r="B20" s="2" t="s">
        <v>30</v>
      </c>
      <c r="C20" s="4">
        <v>45466</v>
      </c>
      <c r="D20" s="2" t="s">
        <v>59</v>
      </c>
      <c r="E20" s="2" t="s">
        <v>66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27</v>
      </c>
      <c r="M20" s="2" t="s">
        <v>34</v>
      </c>
      <c r="N20" s="37">
        <f t="shared" si="0"/>
        <v>0.10034235916588857</v>
      </c>
    </row>
    <row r="21" spans="1:14" ht="15.75" customHeight="1" x14ac:dyDescent="0.25">
      <c r="A21" s="2" t="s">
        <v>67</v>
      </c>
      <c r="B21" s="2" t="s">
        <v>30</v>
      </c>
      <c r="C21" s="4">
        <v>45544</v>
      </c>
      <c r="D21" s="2" t="s">
        <v>39</v>
      </c>
      <c r="E21" s="2" t="s">
        <v>68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27</v>
      </c>
      <c r="M21" s="2" t="s">
        <v>18</v>
      </c>
      <c r="N21" s="37">
        <f t="shared" si="0"/>
        <v>6.3809622724794221E-2</v>
      </c>
    </row>
    <row r="22" spans="1:14" ht="15.75" customHeight="1" x14ac:dyDescent="0.25">
      <c r="A22" s="2" t="s">
        <v>69</v>
      </c>
      <c r="B22" s="2" t="s">
        <v>30</v>
      </c>
      <c r="C22" s="4">
        <v>45661</v>
      </c>
      <c r="D22" s="2" t="s">
        <v>15</v>
      </c>
      <c r="E22" s="2" t="s">
        <v>64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51</v>
      </c>
      <c r="M22" s="2" t="s">
        <v>34</v>
      </c>
      <c r="N22" s="37">
        <f t="shared" si="0"/>
        <v>7.7249552156538517E-2</v>
      </c>
    </row>
    <row r="23" spans="1:14" ht="15.75" customHeight="1" x14ac:dyDescent="0.25">
      <c r="A23" s="2" t="s">
        <v>70</v>
      </c>
      <c r="B23" s="2" t="s">
        <v>38</v>
      </c>
      <c r="C23" s="4">
        <v>45715</v>
      </c>
      <c r="D23" s="2" t="s">
        <v>20</v>
      </c>
      <c r="E23" s="2" t="s">
        <v>47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27</v>
      </c>
      <c r="M23" s="2" t="s">
        <v>34</v>
      </c>
      <c r="N23" s="37">
        <f t="shared" si="0"/>
        <v>8.0294585987261149E-2</v>
      </c>
    </row>
    <row r="24" spans="1:14" ht="15.75" customHeight="1" x14ac:dyDescent="0.25">
      <c r="A24" s="2" t="s">
        <v>71</v>
      </c>
      <c r="B24" s="2" t="s">
        <v>38</v>
      </c>
      <c r="C24" s="4">
        <v>45602</v>
      </c>
      <c r="D24" s="2" t="s">
        <v>59</v>
      </c>
      <c r="E24" s="2" t="s">
        <v>60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72</v>
      </c>
      <c r="M24" s="2" t="s">
        <v>23</v>
      </c>
      <c r="N24" s="37">
        <f t="shared" si="0"/>
        <v>7.6867995018679955E-2</v>
      </c>
    </row>
    <row r="25" spans="1:14" ht="15.75" customHeight="1" x14ac:dyDescent="0.25">
      <c r="A25" s="2" t="s">
        <v>73</v>
      </c>
      <c r="B25" s="2" t="s">
        <v>38</v>
      </c>
      <c r="C25" s="4">
        <v>45680</v>
      </c>
      <c r="D25" s="2" t="s">
        <v>59</v>
      </c>
      <c r="E25" s="2" t="s">
        <v>60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51</v>
      </c>
      <c r="M25" s="2" t="s">
        <v>28</v>
      </c>
      <c r="N25" s="37">
        <f t="shared" si="0"/>
        <v>7.2070332803659209E-2</v>
      </c>
    </row>
    <row r="26" spans="1:14" ht="15.75" customHeight="1" x14ac:dyDescent="0.25">
      <c r="A26" s="2" t="s">
        <v>74</v>
      </c>
      <c r="B26" s="2" t="s">
        <v>14</v>
      </c>
      <c r="C26" s="4">
        <v>45757</v>
      </c>
      <c r="D26" s="2" t="s">
        <v>39</v>
      </c>
      <c r="E26" s="2" t="s">
        <v>42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33</v>
      </c>
      <c r="N26" s="37">
        <f t="shared" si="0"/>
        <v>5.9496567505720827E-2</v>
      </c>
    </row>
    <row r="27" spans="1:14" ht="15.75" customHeight="1" x14ac:dyDescent="0.25">
      <c r="A27" s="2" t="s">
        <v>75</v>
      </c>
      <c r="B27" s="2" t="s">
        <v>25</v>
      </c>
      <c r="C27" s="4">
        <v>45752</v>
      </c>
      <c r="D27" s="2" t="s">
        <v>15</v>
      </c>
      <c r="E27" s="2" t="s">
        <v>26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51</v>
      </c>
      <c r="M27" s="2" t="s">
        <v>23</v>
      </c>
      <c r="N27" s="37">
        <f t="shared" si="0"/>
        <v>8.9730807577268201E-2</v>
      </c>
    </row>
    <row r="28" spans="1:14" ht="15.75" customHeight="1" x14ac:dyDescent="0.25">
      <c r="A28" s="2" t="s">
        <v>76</v>
      </c>
      <c r="B28" s="2" t="s">
        <v>25</v>
      </c>
      <c r="C28" s="4">
        <v>45552</v>
      </c>
      <c r="D28" s="2" t="s">
        <v>20</v>
      </c>
      <c r="E28" s="2" t="s">
        <v>77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51</v>
      </c>
      <c r="M28" s="2" t="s">
        <v>34</v>
      </c>
      <c r="N28" s="37">
        <f t="shared" si="0"/>
        <v>7.1501685934489398E-2</v>
      </c>
    </row>
    <row r="29" spans="1:14" ht="15.75" customHeight="1" x14ac:dyDescent="0.25">
      <c r="A29" s="2" t="s">
        <v>78</v>
      </c>
      <c r="B29" s="2" t="s">
        <v>30</v>
      </c>
      <c r="C29" s="4">
        <v>45720</v>
      </c>
      <c r="D29" s="2" t="s">
        <v>59</v>
      </c>
      <c r="E29" s="2" t="s">
        <v>66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51</v>
      </c>
      <c r="M29" s="2" t="s">
        <v>34</v>
      </c>
      <c r="N29" s="37">
        <f t="shared" si="0"/>
        <v>0.17057291666666666</v>
      </c>
    </row>
    <row r="30" spans="1:14" ht="15.75" customHeight="1" x14ac:dyDescent="0.25">
      <c r="A30" s="2" t="s">
        <v>79</v>
      </c>
      <c r="B30" s="2" t="s">
        <v>30</v>
      </c>
      <c r="C30" s="4">
        <v>45688</v>
      </c>
      <c r="D30" s="2" t="s">
        <v>39</v>
      </c>
      <c r="E30" s="2" t="s">
        <v>68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51</v>
      </c>
      <c r="M30" s="2" t="s">
        <v>28</v>
      </c>
      <c r="N30" s="37">
        <f t="shared" si="0"/>
        <v>0.21208106001558846</v>
      </c>
    </row>
    <row r="31" spans="1:14" ht="15.75" customHeight="1" x14ac:dyDescent="0.25">
      <c r="A31" s="2" t="s">
        <v>80</v>
      </c>
      <c r="B31" s="2" t="s">
        <v>30</v>
      </c>
      <c r="C31" s="4">
        <v>45713</v>
      </c>
      <c r="D31" s="2" t="s">
        <v>59</v>
      </c>
      <c r="E31" s="2" t="s">
        <v>66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33</v>
      </c>
      <c r="N31" s="37">
        <f t="shared" si="0"/>
        <v>5.7655717106444085E-2</v>
      </c>
    </row>
    <row r="32" spans="1:14" ht="15.75" customHeight="1" x14ac:dyDescent="0.25">
      <c r="A32" s="2" t="s">
        <v>81</v>
      </c>
      <c r="B32" s="2" t="s">
        <v>30</v>
      </c>
      <c r="C32" s="4">
        <v>45642</v>
      </c>
      <c r="D32" s="2" t="s">
        <v>20</v>
      </c>
      <c r="E32" s="2" t="s">
        <v>82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27</v>
      </c>
      <c r="M32" s="2" t="s">
        <v>23</v>
      </c>
      <c r="N32" s="37">
        <f t="shared" si="0"/>
        <v>0.28245270711024134</v>
      </c>
    </row>
    <row r="33" spans="1:14" ht="15.75" customHeight="1" x14ac:dyDescent="0.25">
      <c r="A33" s="2" t="s">
        <v>83</v>
      </c>
      <c r="B33" s="2" t="s">
        <v>14</v>
      </c>
      <c r="C33" s="4">
        <v>45504</v>
      </c>
      <c r="D33" s="2" t="s">
        <v>39</v>
      </c>
      <c r="E33" s="2" t="s">
        <v>42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33</v>
      </c>
      <c r="M33" s="2" t="s">
        <v>18</v>
      </c>
      <c r="N33" s="37">
        <f t="shared" si="0"/>
        <v>0.19088381621305239</v>
      </c>
    </row>
    <row r="34" spans="1:14" ht="15.75" customHeight="1" x14ac:dyDescent="0.25">
      <c r="A34" s="2" t="s">
        <v>84</v>
      </c>
      <c r="B34" s="2" t="s">
        <v>38</v>
      </c>
      <c r="C34" s="4">
        <v>45525</v>
      </c>
      <c r="D34" s="2" t="s">
        <v>44</v>
      </c>
      <c r="E34" s="2" t="s">
        <v>49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27</v>
      </c>
      <c r="M34" s="2" t="s">
        <v>18</v>
      </c>
      <c r="N34" s="37">
        <f t="shared" si="0"/>
        <v>0.12781331438047855</v>
      </c>
    </row>
    <row r="35" spans="1:14" ht="15.75" customHeight="1" x14ac:dyDescent="0.25">
      <c r="A35" s="2" t="s">
        <v>85</v>
      </c>
      <c r="B35" s="2" t="s">
        <v>38</v>
      </c>
      <c r="C35" s="4">
        <v>45742</v>
      </c>
      <c r="D35" s="2" t="s">
        <v>20</v>
      </c>
      <c r="E35" s="2" t="s">
        <v>47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27</v>
      </c>
      <c r="M35" s="2" t="s">
        <v>28</v>
      </c>
      <c r="N35" s="37">
        <f t="shared" si="0"/>
        <v>7.055421038471886E-2</v>
      </c>
    </row>
    <row r="36" spans="1:14" ht="15.75" customHeight="1" x14ac:dyDescent="0.25">
      <c r="A36" s="2" t="s">
        <v>86</v>
      </c>
      <c r="B36" s="2" t="s">
        <v>30</v>
      </c>
      <c r="C36" s="4">
        <v>45626</v>
      </c>
      <c r="D36" s="2" t="s">
        <v>59</v>
      </c>
      <c r="E36" s="2" t="s">
        <v>66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51</v>
      </c>
      <c r="M36" s="2" t="s">
        <v>23</v>
      </c>
      <c r="N36" s="37">
        <f t="shared" si="0"/>
        <v>0.11861662987490802</v>
      </c>
    </row>
    <row r="37" spans="1:14" ht="15.75" customHeight="1" x14ac:dyDescent="0.25">
      <c r="A37" s="2" t="s">
        <v>87</v>
      </c>
      <c r="B37" s="2" t="s">
        <v>30</v>
      </c>
      <c r="C37" s="4">
        <v>45766</v>
      </c>
      <c r="D37" s="2" t="s">
        <v>31</v>
      </c>
      <c r="E37" s="2" t="s">
        <v>32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33</v>
      </c>
      <c r="M37" s="2" t="s">
        <v>23</v>
      </c>
      <c r="N37" s="37">
        <f t="shared" si="0"/>
        <v>7.6523535487678915E-2</v>
      </c>
    </row>
    <row r="38" spans="1:14" ht="15.75" customHeight="1" x14ac:dyDescent="0.25">
      <c r="A38" s="2" t="s">
        <v>88</v>
      </c>
      <c r="B38" s="2" t="s">
        <v>38</v>
      </c>
      <c r="C38" s="4">
        <v>45663</v>
      </c>
      <c r="D38" s="2" t="s">
        <v>39</v>
      </c>
      <c r="E38" s="2" t="s">
        <v>40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33</v>
      </c>
      <c r="M38" s="2" t="s">
        <v>23</v>
      </c>
      <c r="N38" s="37">
        <f t="shared" si="0"/>
        <v>0.17770337301587302</v>
      </c>
    </row>
    <row r="39" spans="1:14" ht="15.75" customHeight="1" x14ac:dyDescent="0.25">
      <c r="A39" s="2" t="s">
        <v>89</v>
      </c>
      <c r="B39" s="2" t="s">
        <v>25</v>
      </c>
      <c r="C39" s="4">
        <v>45705</v>
      </c>
      <c r="D39" s="2" t="s">
        <v>15</v>
      </c>
      <c r="E39" s="2" t="s">
        <v>26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27</v>
      </c>
      <c r="M39" s="2" t="s">
        <v>34</v>
      </c>
      <c r="N39" s="37">
        <f t="shared" si="0"/>
        <v>0.12577012959422137</v>
      </c>
    </row>
    <row r="40" spans="1:14" ht="15.75" customHeight="1" x14ac:dyDescent="0.25">
      <c r="A40" s="2" t="s">
        <v>90</v>
      </c>
      <c r="B40" s="2" t="s">
        <v>38</v>
      </c>
      <c r="C40" s="4">
        <v>45621</v>
      </c>
      <c r="D40" s="2" t="s">
        <v>44</v>
      </c>
      <c r="E40" s="2" t="s">
        <v>49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27</v>
      </c>
      <c r="N40" s="37">
        <f t="shared" si="0"/>
        <v>7.2126493695121141E-2</v>
      </c>
    </row>
    <row r="41" spans="1:14" ht="15.75" customHeight="1" x14ac:dyDescent="0.25">
      <c r="A41" s="2" t="s">
        <v>91</v>
      </c>
      <c r="B41" s="2" t="s">
        <v>14</v>
      </c>
      <c r="C41" s="4">
        <v>45723</v>
      </c>
      <c r="D41" s="2" t="s">
        <v>44</v>
      </c>
      <c r="E41" s="2" t="s">
        <v>92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33</v>
      </c>
      <c r="M41" s="2" t="s">
        <v>34</v>
      </c>
      <c r="N41" s="37">
        <f t="shared" si="0"/>
        <v>0.13989473684210527</v>
      </c>
    </row>
    <row r="42" spans="1:14" ht="15.75" customHeight="1" x14ac:dyDescent="0.25">
      <c r="A42" s="2" t="s">
        <v>93</v>
      </c>
      <c r="B42" s="2" t="s">
        <v>30</v>
      </c>
      <c r="C42" s="4">
        <v>45724</v>
      </c>
      <c r="D42" s="2" t="s">
        <v>15</v>
      </c>
      <c r="E42" s="2" t="s">
        <v>64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51</v>
      </c>
      <c r="M42" s="2" t="s">
        <v>34</v>
      </c>
      <c r="N42" s="37">
        <f t="shared" si="0"/>
        <v>0.18433235867446393</v>
      </c>
    </row>
    <row r="43" spans="1:14" ht="15.75" customHeight="1" x14ac:dyDescent="0.25">
      <c r="A43" s="2" t="s">
        <v>94</v>
      </c>
      <c r="B43" s="2" t="s">
        <v>25</v>
      </c>
      <c r="C43" s="4">
        <v>45721</v>
      </c>
      <c r="D43" s="2" t="s">
        <v>15</v>
      </c>
      <c r="E43" s="2" t="s">
        <v>26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33</v>
      </c>
      <c r="N43" s="37">
        <f t="shared" si="0"/>
        <v>0.21840570317563188</v>
      </c>
    </row>
    <row r="44" spans="1:14" ht="15.75" customHeight="1" x14ac:dyDescent="0.25">
      <c r="A44" s="2" t="s">
        <v>95</v>
      </c>
      <c r="B44" s="2" t="s">
        <v>30</v>
      </c>
      <c r="C44" s="4">
        <v>45640</v>
      </c>
      <c r="D44" s="2" t="s">
        <v>39</v>
      </c>
      <c r="E44" s="2" t="s">
        <v>68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27</v>
      </c>
      <c r="M44" s="2" t="s">
        <v>28</v>
      </c>
      <c r="N44" s="37">
        <f t="shared" si="0"/>
        <v>0.21826126954921804</v>
      </c>
    </row>
    <row r="45" spans="1:14" ht="15.75" customHeight="1" x14ac:dyDescent="0.25">
      <c r="A45" s="2" t="s">
        <v>96</v>
      </c>
      <c r="B45" s="2" t="s">
        <v>14</v>
      </c>
      <c r="C45" s="4">
        <v>45718</v>
      </c>
      <c r="D45" s="2" t="s">
        <v>44</v>
      </c>
      <c r="E45" s="2" t="s">
        <v>92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27</v>
      </c>
      <c r="N45" s="37">
        <f t="shared" si="0"/>
        <v>9.8558100084817649E-2</v>
      </c>
    </row>
    <row r="46" spans="1:14" ht="15.75" customHeight="1" x14ac:dyDescent="0.25">
      <c r="A46" s="2" t="s">
        <v>97</v>
      </c>
      <c r="B46" s="2" t="s">
        <v>38</v>
      </c>
      <c r="C46" s="4">
        <v>45597</v>
      </c>
      <c r="D46" s="2" t="s">
        <v>59</v>
      </c>
      <c r="E46" s="2" t="s">
        <v>60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51</v>
      </c>
      <c r="M46" s="2" t="s">
        <v>18</v>
      </c>
      <c r="N46" s="37">
        <f t="shared" si="0"/>
        <v>7.5229902106199939E-2</v>
      </c>
    </row>
    <row r="47" spans="1:14" ht="15.75" customHeight="1" x14ac:dyDescent="0.25">
      <c r="A47" s="2" t="s">
        <v>98</v>
      </c>
      <c r="B47" s="2" t="s">
        <v>14</v>
      </c>
      <c r="C47" s="4">
        <v>45779</v>
      </c>
      <c r="D47" s="2" t="s">
        <v>59</v>
      </c>
      <c r="E47" s="2" t="s">
        <v>99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27</v>
      </c>
      <c r="M47" s="2" t="s">
        <v>34</v>
      </c>
      <c r="N47" s="37">
        <f t="shared" si="0"/>
        <v>0.16888537906137185</v>
      </c>
    </row>
    <row r="48" spans="1:14" ht="15.75" customHeight="1" x14ac:dyDescent="0.25">
      <c r="A48" s="2" t="s">
        <v>100</v>
      </c>
      <c r="B48" s="2" t="s">
        <v>14</v>
      </c>
      <c r="C48" s="4">
        <v>45712</v>
      </c>
      <c r="D48" s="2" t="s">
        <v>39</v>
      </c>
      <c r="E48" s="2" t="s">
        <v>42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51</v>
      </c>
      <c r="N48" s="37">
        <f t="shared" si="0"/>
        <v>0.16683616863905326</v>
      </c>
    </row>
    <row r="49" spans="1:14" ht="15.75" customHeight="1" x14ac:dyDescent="0.25">
      <c r="A49" s="2" t="s">
        <v>101</v>
      </c>
      <c r="B49" s="2" t="s">
        <v>14</v>
      </c>
      <c r="C49" s="4">
        <v>45727</v>
      </c>
      <c r="D49" s="2" t="s">
        <v>31</v>
      </c>
      <c r="E49" s="2" t="s">
        <v>102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27</v>
      </c>
      <c r="N49" s="37">
        <f t="shared" si="0"/>
        <v>7.349527665317139E-2</v>
      </c>
    </row>
    <row r="50" spans="1:14" ht="15.75" customHeight="1" x14ac:dyDescent="0.25">
      <c r="A50" s="2" t="s">
        <v>103</v>
      </c>
      <c r="B50" s="2" t="s">
        <v>14</v>
      </c>
      <c r="C50" s="4">
        <v>45453</v>
      </c>
      <c r="D50" s="2" t="s">
        <v>31</v>
      </c>
      <c r="E50" s="2" t="s">
        <v>102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27</v>
      </c>
      <c r="M50" s="2" t="s">
        <v>34</v>
      </c>
      <c r="N50" s="37">
        <f t="shared" si="0"/>
        <v>0.10617801791554102</v>
      </c>
    </row>
    <row r="51" spans="1:14" ht="15.75" customHeight="1" x14ac:dyDescent="0.25">
      <c r="A51" s="2" t="s">
        <v>104</v>
      </c>
      <c r="B51" s="2" t="s">
        <v>25</v>
      </c>
      <c r="C51" s="4">
        <v>45476</v>
      </c>
      <c r="D51" s="2" t="s">
        <v>31</v>
      </c>
      <c r="E51" s="2" t="s">
        <v>105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27</v>
      </c>
      <c r="M51" s="2" t="s">
        <v>28</v>
      </c>
      <c r="N51" s="37">
        <f t="shared" si="0"/>
        <v>0.13498547567175018</v>
      </c>
    </row>
    <row r="52" spans="1:14" ht="15.75" customHeight="1" x14ac:dyDescent="0.25">
      <c r="A52" s="2" t="s">
        <v>106</v>
      </c>
      <c r="B52" s="2" t="s">
        <v>38</v>
      </c>
      <c r="C52" s="4">
        <v>45456</v>
      </c>
      <c r="D52" s="2" t="s">
        <v>39</v>
      </c>
      <c r="E52" s="2" t="s">
        <v>40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51</v>
      </c>
      <c r="M52" s="2" t="s">
        <v>23</v>
      </c>
      <c r="N52" s="37">
        <f t="shared" si="0"/>
        <v>7.8689839572192513E-2</v>
      </c>
    </row>
    <row r="53" spans="1:14" ht="15.75" customHeight="1" x14ac:dyDescent="0.25">
      <c r="A53" s="2" t="s">
        <v>107</v>
      </c>
      <c r="B53" s="2" t="s">
        <v>38</v>
      </c>
      <c r="C53" s="4">
        <v>45660</v>
      </c>
      <c r="D53" s="2" t="s">
        <v>44</v>
      </c>
      <c r="E53" s="2" t="s">
        <v>49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27</v>
      </c>
      <c r="M53" s="2" t="s">
        <v>34</v>
      </c>
      <c r="N53" s="37">
        <f t="shared" si="0"/>
        <v>0.1569549774407219</v>
      </c>
    </row>
    <row r="54" spans="1:14" ht="15.75" customHeight="1" x14ac:dyDescent="0.25">
      <c r="A54" s="2" t="s">
        <v>108</v>
      </c>
      <c r="B54" s="2" t="s">
        <v>25</v>
      </c>
      <c r="C54" s="4">
        <v>45712</v>
      </c>
      <c r="D54" s="2" t="s">
        <v>39</v>
      </c>
      <c r="E54" s="2" t="s">
        <v>55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109</v>
      </c>
      <c r="N54" s="37">
        <f t="shared" si="0"/>
        <v>0.36965174129353234</v>
      </c>
    </row>
    <row r="55" spans="1:14" ht="15.75" customHeight="1" x14ac:dyDescent="0.25">
      <c r="A55" s="2" t="s">
        <v>110</v>
      </c>
      <c r="B55" s="2" t="s">
        <v>25</v>
      </c>
      <c r="C55" s="4">
        <v>45729</v>
      </c>
      <c r="D55" s="2" t="s">
        <v>39</v>
      </c>
      <c r="E55" s="2" t="s">
        <v>55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51</v>
      </c>
      <c r="M55" s="2" t="s">
        <v>23</v>
      </c>
      <c r="N55" s="37">
        <f t="shared" si="0"/>
        <v>0.16510298716704411</v>
      </c>
    </row>
    <row r="56" spans="1:14" ht="15.75" customHeight="1" x14ac:dyDescent="0.25">
      <c r="A56" s="2" t="s">
        <v>111</v>
      </c>
      <c r="B56" s="2" t="s">
        <v>38</v>
      </c>
      <c r="C56" s="4">
        <v>45460</v>
      </c>
      <c r="D56" s="2" t="s">
        <v>44</v>
      </c>
      <c r="E56" s="2" t="s">
        <v>49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33</v>
      </c>
      <c r="M56" s="2" t="s">
        <v>34</v>
      </c>
      <c r="N56" s="37">
        <f t="shared" si="0"/>
        <v>9.1897770527460579E-2</v>
      </c>
    </row>
    <row r="57" spans="1:14" ht="15.75" customHeight="1" x14ac:dyDescent="0.25">
      <c r="A57" s="2" t="s">
        <v>112</v>
      </c>
      <c r="B57" s="2" t="s">
        <v>38</v>
      </c>
      <c r="C57" s="4">
        <v>45644</v>
      </c>
      <c r="D57" s="2" t="s">
        <v>39</v>
      </c>
      <c r="E57" s="2" t="s">
        <v>40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51</v>
      </c>
      <c r="M57" s="2" t="s">
        <v>28</v>
      </c>
      <c r="N57" s="37">
        <f t="shared" si="0"/>
        <v>0.12936184657162253</v>
      </c>
    </row>
    <row r="58" spans="1:14" ht="15.75" customHeight="1" x14ac:dyDescent="0.25">
      <c r="A58" s="2" t="s">
        <v>113</v>
      </c>
      <c r="B58" s="2" t="s">
        <v>14</v>
      </c>
      <c r="C58" s="4">
        <v>45586</v>
      </c>
      <c r="D58" s="2" t="s">
        <v>59</v>
      </c>
      <c r="E58" s="2" t="s">
        <v>99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27</v>
      </c>
      <c r="M58" s="2" t="s">
        <v>18</v>
      </c>
      <c r="N58" s="37">
        <f t="shared" si="0"/>
        <v>8.0862831858407078E-2</v>
      </c>
    </row>
    <row r="59" spans="1:14" ht="15.75" customHeight="1" x14ac:dyDescent="0.25">
      <c r="A59" s="2" t="s">
        <v>114</v>
      </c>
      <c r="B59" s="2" t="s">
        <v>30</v>
      </c>
      <c r="C59" s="4">
        <v>45762</v>
      </c>
      <c r="D59" s="2" t="s">
        <v>15</v>
      </c>
      <c r="E59" s="2" t="s">
        <v>64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27</v>
      </c>
      <c r="M59" s="2" t="s">
        <v>34</v>
      </c>
      <c r="N59" s="37">
        <f t="shared" si="0"/>
        <v>0.86601941747572819</v>
      </c>
    </row>
    <row r="60" spans="1:14" ht="15.75" customHeight="1" x14ac:dyDescent="0.25">
      <c r="A60" s="2" t="s">
        <v>115</v>
      </c>
      <c r="B60" s="2" t="s">
        <v>30</v>
      </c>
      <c r="C60" s="4">
        <v>45465</v>
      </c>
      <c r="D60" s="2" t="s">
        <v>20</v>
      </c>
      <c r="E60" s="2" t="s">
        <v>82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33</v>
      </c>
      <c r="N60" s="37">
        <f t="shared" si="0"/>
        <v>9.2726081258191345E-2</v>
      </c>
    </row>
    <row r="61" spans="1:14" ht="15.75" customHeight="1" x14ac:dyDescent="0.25">
      <c r="A61" s="2" t="s">
        <v>116</v>
      </c>
      <c r="B61" s="2" t="s">
        <v>30</v>
      </c>
      <c r="C61" s="4">
        <v>45685</v>
      </c>
      <c r="D61" s="2" t="s">
        <v>59</v>
      </c>
      <c r="E61" s="2" t="s">
        <v>66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117</v>
      </c>
      <c r="M61" s="2" t="s">
        <v>28</v>
      </c>
      <c r="N61" s="37">
        <f t="shared" si="0"/>
        <v>0.1650782845473111</v>
      </c>
    </row>
    <row r="62" spans="1:14" ht="15.75" customHeight="1" x14ac:dyDescent="0.25">
      <c r="A62" s="2" t="s">
        <v>118</v>
      </c>
      <c r="B62" s="2" t="s">
        <v>14</v>
      </c>
      <c r="C62" s="4">
        <v>45540</v>
      </c>
      <c r="D62" s="2" t="s">
        <v>59</v>
      </c>
      <c r="E62" s="2" t="s">
        <v>99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27</v>
      </c>
      <c r="M62" s="2" t="s">
        <v>18</v>
      </c>
      <c r="N62" s="37">
        <f t="shared" si="0"/>
        <v>0.14276618001546368</v>
      </c>
    </row>
    <row r="63" spans="1:14" ht="15.75" customHeight="1" x14ac:dyDescent="0.25">
      <c r="A63" s="2" t="s">
        <v>119</v>
      </c>
      <c r="B63" s="2" t="s">
        <v>14</v>
      </c>
      <c r="C63" s="4">
        <v>45618</v>
      </c>
      <c r="D63" s="2" t="s">
        <v>39</v>
      </c>
      <c r="E63" s="2" t="s">
        <v>42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27</v>
      </c>
      <c r="M63" s="2" t="s">
        <v>28</v>
      </c>
      <c r="N63" s="37">
        <f t="shared" si="0"/>
        <v>0.53773584905660377</v>
      </c>
    </row>
    <row r="64" spans="1:14" ht="15.75" customHeight="1" x14ac:dyDescent="0.25">
      <c r="A64" s="2" t="s">
        <v>120</v>
      </c>
      <c r="B64" s="2" t="s">
        <v>14</v>
      </c>
      <c r="C64" s="4">
        <v>45504</v>
      </c>
      <c r="D64" s="2" t="s">
        <v>39</v>
      </c>
      <c r="E64" s="2" t="s">
        <v>42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51</v>
      </c>
      <c r="M64" s="2" t="s">
        <v>28</v>
      </c>
      <c r="N64" s="37">
        <f t="shared" si="0"/>
        <v>5.2551586421122697E-2</v>
      </c>
    </row>
    <row r="65" spans="1:14" ht="15.75" customHeight="1" x14ac:dyDescent="0.25">
      <c r="A65" s="2" t="s">
        <v>121</v>
      </c>
      <c r="B65" s="2" t="s">
        <v>38</v>
      </c>
      <c r="C65" s="4">
        <v>45521</v>
      </c>
      <c r="D65" s="2" t="s">
        <v>44</v>
      </c>
      <c r="E65" s="2" t="s">
        <v>49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51</v>
      </c>
      <c r="M65" s="2" t="s">
        <v>28</v>
      </c>
      <c r="N65" s="37">
        <f t="shared" si="0"/>
        <v>8.2047718322909427E-2</v>
      </c>
    </row>
    <row r="66" spans="1:14" ht="15.75" customHeight="1" x14ac:dyDescent="0.25">
      <c r="A66" s="2" t="s">
        <v>122</v>
      </c>
      <c r="B66" s="2" t="s">
        <v>30</v>
      </c>
      <c r="C66" s="4">
        <v>45744</v>
      </c>
      <c r="D66" s="2" t="s">
        <v>31</v>
      </c>
      <c r="E66" s="2" t="s">
        <v>32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33</v>
      </c>
      <c r="N66" s="37">
        <f t="shared" si="0"/>
        <v>0.11990720603160794</v>
      </c>
    </row>
    <row r="67" spans="1:14" ht="15.75" customHeight="1" x14ac:dyDescent="0.25">
      <c r="A67" s="2" t="s">
        <v>123</v>
      </c>
      <c r="B67" s="2" t="s">
        <v>14</v>
      </c>
      <c r="C67" s="4">
        <v>45499</v>
      </c>
      <c r="D67" s="2" t="s">
        <v>39</v>
      </c>
      <c r="E67" s="2" t="s">
        <v>42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33</v>
      </c>
      <c r="M67" s="2" t="s">
        <v>18</v>
      </c>
      <c r="N67" s="37">
        <f t="shared" ref="N67:N130" si="1">(F67+G67+H67)/I67</f>
        <v>0.29199735449735448</v>
      </c>
    </row>
    <row r="68" spans="1:14" ht="15.75" customHeight="1" x14ac:dyDescent="0.25">
      <c r="A68" s="2" t="s">
        <v>124</v>
      </c>
      <c r="B68" s="2" t="s">
        <v>38</v>
      </c>
      <c r="C68" s="4">
        <v>45745</v>
      </c>
      <c r="D68" s="2" t="s">
        <v>39</v>
      </c>
      <c r="E68" s="2" t="s">
        <v>40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33</v>
      </c>
      <c r="M68" s="2" t="s">
        <v>28</v>
      </c>
      <c r="N68" s="37">
        <f t="shared" si="1"/>
        <v>6.3749764195434822E-2</v>
      </c>
    </row>
    <row r="69" spans="1:14" ht="15.75" customHeight="1" x14ac:dyDescent="0.25">
      <c r="A69" s="2" t="s">
        <v>125</v>
      </c>
      <c r="B69" s="2" t="s">
        <v>30</v>
      </c>
      <c r="C69" s="4">
        <v>45634</v>
      </c>
      <c r="D69" s="2" t="s">
        <v>31</v>
      </c>
      <c r="E69" s="2" t="s">
        <v>32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33</v>
      </c>
      <c r="N69" s="37">
        <f t="shared" si="1"/>
        <v>0.19310344827586207</v>
      </c>
    </row>
    <row r="70" spans="1:14" ht="15.75" customHeight="1" x14ac:dyDescent="0.25">
      <c r="A70" s="2" t="s">
        <v>126</v>
      </c>
      <c r="B70" s="2" t="s">
        <v>14</v>
      </c>
      <c r="C70" s="4">
        <v>45724</v>
      </c>
      <c r="D70" s="2" t="s">
        <v>20</v>
      </c>
      <c r="E70" s="2" t="s">
        <v>21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51</v>
      </c>
      <c r="M70" s="2" t="s">
        <v>28</v>
      </c>
      <c r="N70" s="37">
        <f t="shared" si="1"/>
        <v>9.3421052631578946E-2</v>
      </c>
    </row>
    <row r="71" spans="1:14" ht="15.75" customHeight="1" x14ac:dyDescent="0.25">
      <c r="A71" s="2" t="s">
        <v>127</v>
      </c>
      <c r="B71" s="2" t="s">
        <v>38</v>
      </c>
      <c r="C71" s="4">
        <v>45749</v>
      </c>
      <c r="D71" s="2" t="s">
        <v>59</v>
      </c>
      <c r="E71" s="2" t="s">
        <v>60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27</v>
      </c>
      <c r="N71" s="37">
        <f t="shared" si="1"/>
        <v>0.38274706867671693</v>
      </c>
    </row>
    <row r="72" spans="1:14" ht="15.75" customHeight="1" x14ac:dyDescent="0.25">
      <c r="A72" s="2" t="s">
        <v>128</v>
      </c>
      <c r="B72" s="2" t="s">
        <v>25</v>
      </c>
      <c r="C72" s="4">
        <v>45537</v>
      </c>
      <c r="D72" s="2" t="s">
        <v>39</v>
      </c>
      <c r="E72" s="2" t="s">
        <v>55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27</v>
      </c>
      <c r="M72" s="2" t="s">
        <v>23</v>
      </c>
      <c r="N72" s="37">
        <f t="shared" si="1"/>
        <v>0.1199202926956749</v>
      </c>
    </row>
    <row r="73" spans="1:14" ht="15.75" customHeight="1" x14ac:dyDescent="0.25">
      <c r="A73" s="2" t="s">
        <v>129</v>
      </c>
      <c r="B73" s="2" t="s">
        <v>25</v>
      </c>
      <c r="C73" s="4">
        <v>45719</v>
      </c>
      <c r="D73" s="2" t="s">
        <v>15</v>
      </c>
      <c r="E73" s="2" t="s">
        <v>26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33</v>
      </c>
      <c r="M73" s="2" t="s">
        <v>23</v>
      </c>
      <c r="N73" s="37">
        <f t="shared" si="1"/>
        <v>8.837126600284495E-2</v>
      </c>
    </row>
    <row r="74" spans="1:14" ht="15.75" customHeight="1" x14ac:dyDescent="0.25">
      <c r="A74" s="2" t="s">
        <v>130</v>
      </c>
      <c r="B74" s="2" t="s">
        <v>38</v>
      </c>
      <c r="C74" s="4">
        <v>45583</v>
      </c>
      <c r="D74" s="2" t="s">
        <v>31</v>
      </c>
      <c r="E74" s="2" t="s">
        <v>57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51</v>
      </c>
      <c r="M74" s="2" t="s">
        <v>34</v>
      </c>
      <c r="N74" s="37">
        <f t="shared" si="1"/>
        <v>6.4265122330790625E-2</v>
      </c>
    </row>
    <row r="75" spans="1:14" ht="15.75" customHeight="1" x14ac:dyDescent="0.25">
      <c r="A75" s="2" t="s">
        <v>131</v>
      </c>
      <c r="B75" s="2" t="s">
        <v>25</v>
      </c>
      <c r="C75" s="4">
        <v>45593</v>
      </c>
      <c r="D75" s="2" t="s">
        <v>15</v>
      </c>
      <c r="E75" s="2" t="s">
        <v>26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27</v>
      </c>
      <c r="M75" s="2" t="s">
        <v>28</v>
      </c>
      <c r="N75" s="37">
        <f t="shared" si="1"/>
        <v>0.13351302785265048</v>
      </c>
    </row>
    <row r="76" spans="1:14" ht="15.75" customHeight="1" x14ac:dyDescent="0.25">
      <c r="A76" s="2" t="s">
        <v>132</v>
      </c>
      <c r="B76" s="2" t="s">
        <v>30</v>
      </c>
      <c r="C76" s="4">
        <v>45505</v>
      </c>
      <c r="D76" s="2" t="s">
        <v>15</v>
      </c>
      <c r="E76" s="2" t="s">
        <v>64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27</v>
      </c>
      <c r="M76" s="2" t="s">
        <v>34</v>
      </c>
      <c r="N76" s="37">
        <f t="shared" si="1"/>
        <v>0.12131237937689551</v>
      </c>
    </row>
    <row r="77" spans="1:14" ht="15.75" customHeight="1" x14ac:dyDescent="0.25">
      <c r="A77" s="2" t="s">
        <v>133</v>
      </c>
      <c r="B77" s="2" t="s">
        <v>14</v>
      </c>
      <c r="C77" s="4">
        <v>45603</v>
      </c>
      <c r="D77" s="2" t="s">
        <v>31</v>
      </c>
      <c r="E77" s="2" t="s">
        <v>102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27</v>
      </c>
      <c r="M77" s="2" t="s">
        <v>34</v>
      </c>
      <c r="N77" s="37">
        <f t="shared" si="1"/>
        <v>8.1177520071364848E-2</v>
      </c>
    </row>
    <row r="78" spans="1:14" ht="15.75" customHeight="1" x14ac:dyDescent="0.25">
      <c r="A78" s="2" t="s">
        <v>134</v>
      </c>
      <c r="B78" s="2" t="s">
        <v>38</v>
      </c>
      <c r="C78" s="4">
        <v>45720</v>
      </c>
      <c r="D78" s="2" t="s">
        <v>31</v>
      </c>
      <c r="E78" s="2" t="s">
        <v>57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27</v>
      </c>
      <c r="N78" s="37">
        <f t="shared" si="1"/>
        <v>0.20416333066453163</v>
      </c>
    </row>
    <row r="79" spans="1:14" ht="15.75" customHeight="1" x14ac:dyDescent="0.25">
      <c r="A79" s="2" t="s">
        <v>135</v>
      </c>
      <c r="B79" s="2" t="s">
        <v>14</v>
      </c>
      <c r="C79" s="4">
        <v>45460</v>
      </c>
      <c r="D79" s="2" t="s">
        <v>44</v>
      </c>
      <c r="E79" s="2" t="s">
        <v>92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51</v>
      </c>
      <c r="M79" s="2" t="s">
        <v>34</v>
      </c>
      <c r="N79" s="37">
        <f t="shared" si="1"/>
        <v>8.2075471698113203E-2</v>
      </c>
    </row>
    <row r="80" spans="1:14" ht="15.75" customHeight="1" x14ac:dyDescent="0.25">
      <c r="A80" s="2" t="s">
        <v>136</v>
      </c>
      <c r="B80" s="2" t="s">
        <v>30</v>
      </c>
      <c r="C80" s="4">
        <v>45574</v>
      </c>
      <c r="D80" s="2" t="s">
        <v>39</v>
      </c>
      <c r="E80" s="2" t="s">
        <v>68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33</v>
      </c>
      <c r="M80" s="2" t="s">
        <v>23</v>
      </c>
      <c r="N80" s="37">
        <f t="shared" si="1"/>
        <v>8.860696018453515E-2</v>
      </c>
    </row>
    <row r="81" spans="1:14" ht="15.75" customHeight="1" x14ac:dyDescent="0.25">
      <c r="A81" s="2" t="s">
        <v>137</v>
      </c>
      <c r="B81" s="2" t="s">
        <v>30</v>
      </c>
      <c r="C81" s="4">
        <v>45456</v>
      </c>
      <c r="D81" s="2" t="s">
        <v>31</v>
      </c>
      <c r="E81" s="2" t="s">
        <v>32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51</v>
      </c>
      <c r="N81" s="37">
        <f t="shared" si="1"/>
        <v>7.7533348349475686E-2</v>
      </c>
    </row>
    <row r="82" spans="1:14" ht="15.75" customHeight="1" x14ac:dyDescent="0.25">
      <c r="A82" s="2" t="s">
        <v>138</v>
      </c>
      <c r="B82" s="2" t="s">
        <v>30</v>
      </c>
      <c r="C82" s="4">
        <v>45584</v>
      </c>
      <c r="D82" s="2" t="s">
        <v>31</v>
      </c>
      <c r="E82" s="2" t="s">
        <v>32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27</v>
      </c>
      <c r="M82" s="2" t="s">
        <v>28</v>
      </c>
      <c r="N82" s="37">
        <f t="shared" si="1"/>
        <v>9.4413295955146179E-2</v>
      </c>
    </row>
    <row r="83" spans="1:14" ht="15.75" customHeight="1" x14ac:dyDescent="0.25">
      <c r="A83" s="2" t="s">
        <v>139</v>
      </c>
      <c r="B83" s="2" t="s">
        <v>30</v>
      </c>
      <c r="C83" s="4">
        <v>45497</v>
      </c>
      <c r="D83" s="2" t="s">
        <v>44</v>
      </c>
      <c r="E83" s="2" t="s">
        <v>140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141</v>
      </c>
      <c r="M83" s="2" t="s">
        <v>28</v>
      </c>
      <c r="N83" s="37">
        <f t="shared" si="1"/>
        <v>8.558620689655172E-2</v>
      </c>
    </row>
    <row r="84" spans="1:14" ht="15.75" customHeight="1" x14ac:dyDescent="0.25">
      <c r="A84" s="2" t="s">
        <v>142</v>
      </c>
      <c r="B84" s="2" t="s">
        <v>25</v>
      </c>
      <c r="C84" s="4">
        <v>45580</v>
      </c>
      <c r="D84" s="2" t="s">
        <v>59</v>
      </c>
      <c r="E84" s="2" t="s">
        <v>143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33</v>
      </c>
      <c r="N84" s="37">
        <f t="shared" si="1"/>
        <v>0.16118220597196831</v>
      </c>
    </row>
    <row r="85" spans="1:14" ht="15.75" customHeight="1" x14ac:dyDescent="0.25">
      <c r="A85" s="2" t="s">
        <v>144</v>
      </c>
      <c r="B85" s="2" t="s">
        <v>38</v>
      </c>
      <c r="C85" s="4">
        <v>45635</v>
      </c>
      <c r="D85" s="2" t="s">
        <v>44</v>
      </c>
      <c r="E85" s="2" t="s">
        <v>49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51</v>
      </c>
      <c r="M85" s="2" t="s">
        <v>34</v>
      </c>
      <c r="N85" s="37">
        <f t="shared" si="1"/>
        <v>8.6737756939878216E-2</v>
      </c>
    </row>
    <row r="86" spans="1:14" ht="15.75" customHeight="1" x14ac:dyDescent="0.25">
      <c r="A86" s="2" t="s">
        <v>145</v>
      </c>
      <c r="B86" s="2" t="s">
        <v>30</v>
      </c>
      <c r="C86" s="4">
        <v>45766</v>
      </c>
      <c r="D86" s="2" t="s">
        <v>44</v>
      </c>
      <c r="E86" s="2" t="s">
        <v>140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51</v>
      </c>
      <c r="M86" s="2" t="s">
        <v>18</v>
      </c>
      <c r="N86" s="37">
        <f t="shared" si="1"/>
        <v>0.19156491900087783</v>
      </c>
    </row>
    <row r="87" spans="1:14" ht="15.75" customHeight="1" x14ac:dyDescent="0.25">
      <c r="A87" s="2" t="s">
        <v>146</v>
      </c>
      <c r="B87" s="2" t="s">
        <v>25</v>
      </c>
      <c r="C87" s="4">
        <v>45684</v>
      </c>
      <c r="D87" s="2" t="s">
        <v>20</v>
      </c>
      <c r="E87" s="2" t="s">
        <v>77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109</v>
      </c>
      <c r="M87" s="2" t="s">
        <v>34</v>
      </c>
      <c r="N87" s="37">
        <f t="shared" si="1"/>
        <v>6.5515821264328367E-2</v>
      </c>
    </row>
    <row r="88" spans="1:14" ht="15.75" customHeight="1" x14ac:dyDescent="0.25">
      <c r="A88" s="2" t="s">
        <v>147</v>
      </c>
      <c r="B88" s="2" t="s">
        <v>14</v>
      </c>
      <c r="C88" s="4">
        <v>45449</v>
      </c>
      <c r="D88" s="2" t="s">
        <v>59</v>
      </c>
      <c r="E88" s="2" t="s">
        <v>99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51</v>
      </c>
      <c r="M88" s="2" t="s">
        <v>28</v>
      </c>
      <c r="N88" s="37">
        <f t="shared" si="1"/>
        <v>0.20868152274837512</v>
      </c>
    </row>
    <row r="89" spans="1:14" ht="15.75" customHeight="1" x14ac:dyDescent="0.25">
      <c r="A89" s="2" t="s">
        <v>148</v>
      </c>
      <c r="B89" s="2" t="s">
        <v>38</v>
      </c>
      <c r="C89" s="4">
        <v>45480</v>
      </c>
      <c r="D89" s="2" t="s">
        <v>31</v>
      </c>
      <c r="E89" s="2" t="s">
        <v>57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27</v>
      </c>
      <c r="M89" s="2" t="s">
        <v>34</v>
      </c>
      <c r="N89" s="37">
        <f t="shared" si="1"/>
        <v>0.13576158940397351</v>
      </c>
    </row>
    <row r="90" spans="1:14" ht="15.75" customHeight="1" x14ac:dyDescent="0.25">
      <c r="A90" s="2" t="s">
        <v>149</v>
      </c>
      <c r="B90" s="2" t="s">
        <v>14</v>
      </c>
      <c r="C90" s="4">
        <v>45667</v>
      </c>
      <c r="D90" s="2" t="s">
        <v>44</v>
      </c>
      <c r="E90" s="2" t="s">
        <v>92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33</v>
      </c>
      <c r="N90" s="37">
        <f t="shared" si="1"/>
        <v>0.16873144921925409</v>
      </c>
    </row>
    <row r="91" spans="1:14" ht="15.75" customHeight="1" x14ac:dyDescent="0.25">
      <c r="A91" s="2" t="s">
        <v>150</v>
      </c>
      <c r="B91" s="2" t="s">
        <v>30</v>
      </c>
      <c r="C91" s="4">
        <v>45446</v>
      </c>
      <c r="D91" s="2" t="s">
        <v>44</v>
      </c>
      <c r="E91" s="2" t="s">
        <v>140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27</v>
      </c>
      <c r="M91" s="2" t="s">
        <v>34</v>
      </c>
      <c r="N91" s="37">
        <f t="shared" si="1"/>
        <v>7.0822181933293038E-2</v>
      </c>
    </row>
    <row r="92" spans="1:14" ht="15.75" customHeight="1" x14ac:dyDescent="0.25">
      <c r="A92" s="2" t="s">
        <v>151</v>
      </c>
      <c r="B92" s="2" t="s">
        <v>38</v>
      </c>
      <c r="C92" s="4">
        <v>45740</v>
      </c>
      <c r="D92" s="2" t="s">
        <v>44</v>
      </c>
      <c r="E92" s="2" t="s">
        <v>49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33</v>
      </c>
      <c r="M92" s="2" t="s">
        <v>34</v>
      </c>
      <c r="N92" s="37">
        <f t="shared" si="1"/>
        <v>7.984956452889945E-2</v>
      </c>
    </row>
    <row r="93" spans="1:14" ht="15.75" customHeight="1" x14ac:dyDescent="0.25">
      <c r="A93" s="2" t="s">
        <v>152</v>
      </c>
      <c r="B93" s="2" t="s">
        <v>14</v>
      </c>
      <c r="C93" s="4">
        <v>45586</v>
      </c>
      <c r="D93" s="2" t="s">
        <v>31</v>
      </c>
      <c r="E93" s="2" t="s">
        <v>102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51</v>
      </c>
      <c r="M93" s="2" t="s">
        <v>28</v>
      </c>
      <c r="N93" s="37">
        <f t="shared" si="1"/>
        <v>0.13599052880820836</v>
      </c>
    </row>
    <row r="94" spans="1:14" ht="15.75" customHeight="1" x14ac:dyDescent="0.25">
      <c r="A94" s="2" t="s">
        <v>153</v>
      </c>
      <c r="B94" s="2" t="s">
        <v>30</v>
      </c>
      <c r="C94" s="4">
        <v>45637</v>
      </c>
      <c r="D94" s="2" t="s">
        <v>59</v>
      </c>
      <c r="E94" s="2" t="s">
        <v>66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33</v>
      </c>
      <c r="M94" s="2" t="s">
        <v>28</v>
      </c>
      <c r="N94" s="37">
        <f t="shared" si="1"/>
        <v>0.28045655718611695</v>
      </c>
    </row>
    <row r="95" spans="1:14" ht="15.75" customHeight="1" x14ac:dyDescent="0.25">
      <c r="A95" s="2" t="s">
        <v>154</v>
      </c>
      <c r="B95" s="2" t="s">
        <v>30</v>
      </c>
      <c r="C95" s="4">
        <v>45603</v>
      </c>
      <c r="D95" s="2" t="s">
        <v>44</v>
      </c>
      <c r="E95" s="2" t="s">
        <v>140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51</v>
      </c>
      <c r="M95" s="2" t="s">
        <v>28</v>
      </c>
      <c r="N95" s="37">
        <f t="shared" si="1"/>
        <v>0.16843866371633656</v>
      </c>
    </row>
    <row r="96" spans="1:14" ht="15.75" customHeight="1" x14ac:dyDescent="0.25">
      <c r="A96" s="2" t="s">
        <v>155</v>
      </c>
      <c r="B96" s="2" t="s">
        <v>30</v>
      </c>
      <c r="C96" s="4">
        <v>45604</v>
      </c>
      <c r="D96" s="2" t="s">
        <v>20</v>
      </c>
      <c r="E96" s="2" t="s">
        <v>82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51</v>
      </c>
      <c r="M96" s="2" t="s">
        <v>34</v>
      </c>
      <c r="N96" s="37">
        <f t="shared" si="1"/>
        <v>6.8108806480899509E-2</v>
      </c>
    </row>
    <row r="97" spans="1:14" ht="15.75" customHeight="1" x14ac:dyDescent="0.25">
      <c r="A97" s="2" t="s">
        <v>156</v>
      </c>
      <c r="B97" s="2" t="s">
        <v>14</v>
      </c>
      <c r="C97" s="4">
        <v>45545</v>
      </c>
      <c r="D97" s="2" t="s">
        <v>44</v>
      </c>
      <c r="E97" s="2" t="s">
        <v>92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51</v>
      </c>
      <c r="N97" s="37">
        <f t="shared" si="1"/>
        <v>0.10339256865912763</v>
      </c>
    </row>
    <row r="98" spans="1:14" ht="15.75" customHeight="1" x14ac:dyDescent="0.25">
      <c r="A98" s="2" t="s">
        <v>157</v>
      </c>
      <c r="B98" s="2" t="s">
        <v>30</v>
      </c>
      <c r="C98" s="4">
        <v>45517</v>
      </c>
      <c r="D98" s="2" t="s">
        <v>44</v>
      </c>
      <c r="E98" s="2" t="s">
        <v>140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72</v>
      </c>
      <c r="M98" s="2" t="s">
        <v>23</v>
      </c>
      <c r="N98" s="37">
        <f t="shared" si="1"/>
        <v>8.7668609086629767E-2</v>
      </c>
    </row>
    <row r="99" spans="1:14" ht="15.75" customHeight="1" x14ac:dyDescent="0.25">
      <c r="A99" s="2" t="s">
        <v>158</v>
      </c>
      <c r="B99" s="2" t="s">
        <v>14</v>
      </c>
      <c r="C99" s="4">
        <v>45453</v>
      </c>
      <c r="D99" s="2" t="s">
        <v>31</v>
      </c>
      <c r="E99" s="2" t="s">
        <v>102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51</v>
      </c>
      <c r="M99" s="2" t="s">
        <v>34</v>
      </c>
      <c r="N99" s="37">
        <f t="shared" si="1"/>
        <v>0.11238095238095239</v>
      </c>
    </row>
    <row r="100" spans="1:14" ht="15.75" customHeight="1" x14ac:dyDescent="0.25">
      <c r="A100" s="2" t="s">
        <v>159</v>
      </c>
      <c r="B100" s="2" t="s">
        <v>25</v>
      </c>
      <c r="C100" s="4">
        <v>45475</v>
      </c>
      <c r="D100" s="2" t="s">
        <v>39</v>
      </c>
      <c r="E100" s="2" t="s">
        <v>55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51</v>
      </c>
      <c r="M100" s="2" t="s">
        <v>28</v>
      </c>
      <c r="N100" s="37">
        <f t="shared" si="1"/>
        <v>7.2000119875329657E-2</v>
      </c>
    </row>
    <row r="101" spans="1:14" ht="15.75" customHeight="1" x14ac:dyDescent="0.25">
      <c r="A101" s="2" t="s">
        <v>160</v>
      </c>
      <c r="B101" s="2" t="s">
        <v>25</v>
      </c>
      <c r="C101" s="4">
        <v>45698</v>
      </c>
      <c r="D101" s="2" t="s">
        <v>59</v>
      </c>
      <c r="E101" s="2" t="s">
        <v>143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33</v>
      </c>
      <c r="N101" s="37">
        <f t="shared" si="1"/>
        <v>9.2298980747451867E-2</v>
      </c>
    </row>
    <row r="102" spans="1:14" ht="15.75" customHeight="1" x14ac:dyDescent="0.25">
      <c r="A102" s="2" t="s">
        <v>161</v>
      </c>
      <c r="B102" s="2" t="s">
        <v>25</v>
      </c>
      <c r="C102" s="4">
        <v>45583</v>
      </c>
      <c r="D102" s="2" t="s">
        <v>59</v>
      </c>
      <c r="E102" s="2" t="s">
        <v>143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51</v>
      </c>
      <c r="M102" s="2" t="s">
        <v>28</v>
      </c>
      <c r="N102" s="37">
        <f t="shared" si="1"/>
        <v>7.3707865168539333E-2</v>
      </c>
    </row>
    <row r="103" spans="1:14" ht="15.75" customHeight="1" x14ac:dyDescent="0.25">
      <c r="A103" s="2" t="s">
        <v>162</v>
      </c>
      <c r="B103" s="2" t="s">
        <v>14</v>
      </c>
      <c r="C103" s="4">
        <v>45553</v>
      </c>
      <c r="D103" s="2" t="s">
        <v>15</v>
      </c>
      <c r="E103" s="2" t="s">
        <v>16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33</v>
      </c>
      <c r="M103" s="2" t="s">
        <v>23</v>
      </c>
      <c r="N103" s="37">
        <f t="shared" si="1"/>
        <v>0.35666666666666669</v>
      </c>
    </row>
    <row r="104" spans="1:14" ht="15.75" customHeight="1" x14ac:dyDescent="0.25">
      <c r="A104" s="2" t="s">
        <v>163</v>
      </c>
      <c r="B104" s="2" t="s">
        <v>38</v>
      </c>
      <c r="C104" s="4">
        <v>45454</v>
      </c>
      <c r="D104" s="2" t="s">
        <v>44</v>
      </c>
      <c r="E104" s="2" t="s">
        <v>49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33</v>
      </c>
      <c r="M104" s="2" t="s">
        <v>23</v>
      </c>
      <c r="N104" s="37">
        <f t="shared" si="1"/>
        <v>9.9632815002833983E-2</v>
      </c>
    </row>
    <row r="105" spans="1:14" ht="15.75" customHeight="1" x14ac:dyDescent="0.25">
      <c r="A105" s="2" t="s">
        <v>164</v>
      </c>
      <c r="B105" s="2" t="s">
        <v>25</v>
      </c>
      <c r="C105" s="4">
        <v>45739</v>
      </c>
      <c r="D105" s="2" t="s">
        <v>31</v>
      </c>
      <c r="E105" s="2" t="s">
        <v>105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27</v>
      </c>
      <c r="M105" s="2" t="s">
        <v>28</v>
      </c>
      <c r="N105" s="37">
        <f t="shared" si="1"/>
        <v>0.13707250341997265</v>
      </c>
    </row>
    <row r="106" spans="1:14" ht="15.75" customHeight="1" x14ac:dyDescent="0.25">
      <c r="A106" s="2" t="s">
        <v>165</v>
      </c>
      <c r="B106" s="2" t="s">
        <v>30</v>
      </c>
      <c r="C106" s="4">
        <v>45457</v>
      </c>
      <c r="D106" s="2" t="s">
        <v>39</v>
      </c>
      <c r="E106" s="2" t="s">
        <v>68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51</v>
      </c>
      <c r="M106" s="2" t="s">
        <v>18</v>
      </c>
      <c r="N106" s="37">
        <f t="shared" si="1"/>
        <v>0.12896028558679162</v>
      </c>
    </row>
    <row r="107" spans="1:14" ht="15.75" customHeight="1" x14ac:dyDescent="0.25">
      <c r="A107" s="2" t="s">
        <v>166</v>
      </c>
      <c r="B107" s="2" t="s">
        <v>30</v>
      </c>
      <c r="C107" s="4">
        <v>45692</v>
      </c>
      <c r="D107" s="2" t="s">
        <v>44</v>
      </c>
      <c r="E107" s="2" t="s">
        <v>140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27</v>
      </c>
      <c r="M107" s="2" t="s">
        <v>34</v>
      </c>
      <c r="N107" s="37">
        <f t="shared" si="1"/>
        <v>8.5718409468138843E-2</v>
      </c>
    </row>
    <row r="108" spans="1:14" ht="15.75" customHeight="1" x14ac:dyDescent="0.25">
      <c r="A108" s="2" t="s">
        <v>167</v>
      </c>
      <c r="B108" s="2" t="s">
        <v>25</v>
      </c>
      <c r="C108" s="4">
        <v>45464</v>
      </c>
      <c r="D108" s="2" t="s">
        <v>44</v>
      </c>
      <c r="E108" s="2" t="s">
        <v>45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27</v>
      </c>
      <c r="N108" s="37">
        <f t="shared" si="1"/>
        <v>6.2467323109097243E-2</v>
      </c>
    </row>
    <row r="109" spans="1:14" ht="15.75" customHeight="1" x14ac:dyDescent="0.25">
      <c r="A109" s="2" t="s">
        <v>168</v>
      </c>
      <c r="B109" s="2" t="s">
        <v>14</v>
      </c>
      <c r="C109" s="4">
        <v>45741</v>
      </c>
      <c r="D109" s="2" t="s">
        <v>59</v>
      </c>
      <c r="E109" s="2" t="s">
        <v>99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27</v>
      </c>
      <c r="M109" s="2" t="s">
        <v>23</v>
      </c>
      <c r="N109" s="37">
        <f t="shared" si="1"/>
        <v>0.10005698005698006</v>
      </c>
    </row>
    <row r="110" spans="1:14" ht="15.75" customHeight="1" x14ac:dyDescent="0.25">
      <c r="A110" s="2" t="s">
        <v>169</v>
      </c>
      <c r="B110" s="2" t="s">
        <v>14</v>
      </c>
      <c r="C110" s="4">
        <v>45512</v>
      </c>
      <c r="D110" s="2" t="s">
        <v>31</v>
      </c>
      <c r="E110" s="2" t="s">
        <v>102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51</v>
      </c>
      <c r="M110" s="2" t="s">
        <v>28</v>
      </c>
      <c r="N110" s="37">
        <f t="shared" si="1"/>
        <v>0.16744313510550835</v>
      </c>
    </row>
    <row r="111" spans="1:14" ht="15.75" customHeight="1" x14ac:dyDescent="0.25">
      <c r="A111" s="2" t="s">
        <v>170</v>
      </c>
      <c r="B111" s="2" t="s">
        <v>30</v>
      </c>
      <c r="C111" s="4">
        <v>45502</v>
      </c>
      <c r="D111" s="2" t="s">
        <v>15</v>
      </c>
      <c r="E111" s="2" t="s">
        <v>64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33</v>
      </c>
      <c r="M111" s="2" t="s">
        <v>23</v>
      </c>
      <c r="N111" s="37">
        <f t="shared" si="1"/>
        <v>0.12277759141227776</v>
      </c>
    </row>
    <row r="112" spans="1:14" ht="15.75" customHeight="1" x14ac:dyDescent="0.25">
      <c r="A112" s="2" t="s">
        <v>171</v>
      </c>
      <c r="B112" s="2" t="s">
        <v>25</v>
      </c>
      <c r="C112" s="4">
        <v>45619</v>
      </c>
      <c r="D112" s="2" t="s">
        <v>44</v>
      </c>
      <c r="E112" s="2" t="s">
        <v>45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27</v>
      </c>
      <c r="M112" s="2" t="s">
        <v>23</v>
      </c>
      <c r="N112" s="37">
        <f t="shared" si="1"/>
        <v>7.4071349760941527E-2</v>
      </c>
    </row>
    <row r="113" spans="1:14" ht="15.75" customHeight="1" x14ac:dyDescent="0.25">
      <c r="A113" s="2" t="s">
        <v>172</v>
      </c>
      <c r="B113" s="2" t="s">
        <v>14</v>
      </c>
      <c r="C113" s="4">
        <v>45570</v>
      </c>
      <c r="D113" s="2" t="s">
        <v>31</v>
      </c>
      <c r="E113" s="2" t="s">
        <v>102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51</v>
      </c>
      <c r="M113" s="2" t="s">
        <v>28</v>
      </c>
      <c r="N113" s="37">
        <f t="shared" si="1"/>
        <v>0.17441662408448305</v>
      </c>
    </row>
    <row r="114" spans="1:14" ht="15.75" customHeight="1" x14ac:dyDescent="0.25">
      <c r="A114" s="2" t="s">
        <v>173</v>
      </c>
      <c r="B114" s="2" t="s">
        <v>14</v>
      </c>
      <c r="C114" s="4">
        <v>45567</v>
      </c>
      <c r="D114" s="2" t="s">
        <v>39</v>
      </c>
      <c r="E114" s="2" t="s">
        <v>42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33</v>
      </c>
      <c r="M114" s="2" t="s">
        <v>18</v>
      </c>
      <c r="N114" s="37">
        <f t="shared" si="1"/>
        <v>0.11369088028965829</v>
      </c>
    </row>
    <row r="115" spans="1:14" ht="15.75" customHeight="1" x14ac:dyDescent="0.25">
      <c r="A115" s="2" t="s">
        <v>174</v>
      </c>
      <c r="B115" s="2" t="s">
        <v>14</v>
      </c>
      <c r="C115" s="4">
        <v>45610</v>
      </c>
      <c r="D115" s="2" t="s">
        <v>31</v>
      </c>
      <c r="E115" s="2" t="s">
        <v>102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51</v>
      </c>
      <c r="M115" s="2" t="s">
        <v>18</v>
      </c>
      <c r="N115" s="37">
        <f t="shared" si="1"/>
        <v>0.12942500000000001</v>
      </c>
    </row>
    <row r="116" spans="1:14" ht="15.75" customHeight="1" x14ac:dyDescent="0.25">
      <c r="A116" s="2" t="s">
        <v>175</v>
      </c>
      <c r="B116" s="2" t="s">
        <v>14</v>
      </c>
      <c r="C116" s="4">
        <v>45788</v>
      </c>
      <c r="D116" s="2" t="s">
        <v>44</v>
      </c>
      <c r="E116" s="2" t="s">
        <v>92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72</v>
      </c>
      <c r="M116" s="2" t="s">
        <v>34</v>
      </c>
      <c r="N116" s="37">
        <f t="shared" si="1"/>
        <v>6.2150491965739366E-2</v>
      </c>
    </row>
    <row r="117" spans="1:14" ht="15.75" customHeight="1" x14ac:dyDescent="0.25">
      <c r="A117" s="2" t="s">
        <v>176</v>
      </c>
      <c r="B117" s="2" t="s">
        <v>25</v>
      </c>
      <c r="C117" s="4">
        <v>45734</v>
      </c>
      <c r="D117" s="2" t="s">
        <v>15</v>
      </c>
      <c r="E117" s="2" t="s">
        <v>26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27</v>
      </c>
      <c r="N117" s="37">
        <f t="shared" si="1"/>
        <v>0.16769515581610614</v>
      </c>
    </row>
    <row r="118" spans="1:14" ht="15.75" customHeight="1" x14ac:dyDescent="0.25">
      <c r="A118" s="2" t="s">
        <v>177</v>
      </c>
      <c r="B118" s="2" t="s">
        <v>14</v>
      </c>
      <c r="C118" s="4">
        <v>45600</v>
      </c>
      <c r="D118" s="2" t="s">
        <v>44</v>
      </c>
      <c r="E118" s="2" t="s">
        <v>92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33</v>
      </c>
      <c r="M118" s="2" t="s">
        <v>34</v>
      </c>
      <c r="N118" s="37">
        <f t="shared" si="1"/>
        <v>0.11792317271769326</v>
      </c>
    </row>
    <row r="119" spans="1:14" ht="15.75" customHeight="1" x14ac:dyDescent="0.25">
      <c r="A119" s="2" t="s">
        <v>178</v>
      </c>
      <c r="B119" s="2" t="s">
        <v>38</v>
      </c>
      <c r="C119" s="4">
        <v>45600</v>
      </c>
      <c r="D119" s="2" t="s">
        <v>44</v>
      </c>
      <c r="E119" s="2" t="s">
        <v>49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51</v>
      </c>
      <c r="M119" s="2" t="s">
        <v>28</v>
      </c>
      <c r="N119" s="37">
        <f t="shared" si="1"/>
        <v>8.0158206987475278E-2</v>
      </c>
    </row>
    <row r="120" spans="1:14" ht="15.75" customHeight="1" x14ac:dyDescent="0.25">
      <c r="A120" s="2" t="s">
        <v>179</v>
      </c>
      <c r="B120" s="2" t="s">
        <v>30</v>
      </c>
      <c r="C120" s="4">
        <v>45695</v>
      </c>
      <c r="D120" s="2" t="s">
        <v>15</v>
      </c>
      <c r="E120" s="2" t="s">
        <v>64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51</v>
      </c>
      <c r="N120" s="37">
        <f t="shared" si="1"/>
        <v>0.31705583756345179</v>
      </c>
    </row>
    <row r="121" spans="1:14" ht="15.75" customHeight="1" x14ac:dyDescent="0.25">
      <c r="A121" s="2" t="s">
        <v>180</v>
      </c>
      <c r="B121" s="2" t="s">
        <v>38</v>
      </c>
      <c r="C121" s="4">
        <v>45586</v>
      </c>
      <c r="D121" s="2" t="s">
        <v>31</v>
      </c>
      <c r="E121" s="2" t="s">
        <v>57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33</v>
      </c>
      <c r="M121" s="2" t="s">
        <v>28</v>
      </c>
      <c r="N121" s="37">
        <f t="shared" si="1"/>
        <v>0.23414918414918415</v>
      </c>
    </row>
    <row r="122" spans="1:14" ht="15.75" customHeight="1" x14ac:dyDescent="0.25">
      <c r="A122" s="2" t="s">
        <v>181</v>
      </c>
      <c r="B122" s="2" t="s">
        <v>30</v>
      </c>
      <c r="C122" s="4">
        <v>45502</v>
      </c>
      <c r="D122" s="2" t="s">
        <v>31</v>
      </c>
      <c r="E122" s="2" t="s">
        <v>32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51</v>
      </c>
      <c r="N122" s="37">
        <f t="shared" si="1"/>
        <v>0.32349397590361445</v>
      </c>
    </row>
    <row r="123" spans="1:14" ht="15.75" customHeight="1" x14ac:dyDescent="0.25">
      <c r="A123" s="2" t="s">
        <v>182</v>
      </c>
      <c r="B123" s="2" t="s">
        <v>30</v>
      </c>
      <c r="C123" s="4">
        <v>45567</v>
      </c>
      <c r="D123" s="2" t="s">
        <v>20</v>
      </c>
      <c r="E123" s="2" t="s">
        <v>82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33</v>
      </c>
      <c r="M123" s="2" t="s">
        <v>23</v>
      </c>
      <c r="N123" s="37">
        <f t="shared" si="1"/>
        <v>8.0565268065268064E-2</v>
      </c>
    </row>
    <row r="124" spans="1:14" ht="15.75" customHeight="1" x14ac:dyDescent="0.25">
      <c r="A124" s="2" t="s">
        <v>183</v>
      </c>
      <c r="B124" s="2" t="s">
        <v>30</v>
      </c>
      <c r="C124" s="4">
        <v>45457</v>
      </c>
      <c r="D124" s="2" t="s">
        <v>31</v>
      </c>
      <c r="E124" s="2" t="s">
        <v>32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33</v>
      </c>
      <c r="M124" s="2" t="s">
        <v>18</v>
      </c>
      <c r="N124" s="37">
        <f t="shared" si="1"/>
        <v>0.23616777446710979</v>
      </c>
    </row>
    <row r="125" spans="1:14" ht="15.75" customHeight="1" x14ac:dyDescent="0.25">
      <c r="A125" s="2" t="s">
        <v>184</v>
      </c>
      <c r="B125" s="2" t="s">
        <v>25</v>
      </c>
      <c r="C125" s="4">
        <v>45753</v>
      </c>
      <c r="D125" s="2" t="s">
        <v>39</v>
      </c>
      <c r="E125" s="2" t="s">
        <v>55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33</v>
      </c>
      <c r="M125" s="2" t="s">
        <v>18</v>
      </c>
      <c r="N125" s="37">
        <f t="shared" si="1"/>
        <v>0.33618012422360249</v>
      </c>
    </row>
    <row r="126" spans="1:14" ht="15.75" customHeight="1" x14ac:dyDescent="0.25">
      <c r="A126" s="2" t="s">
        <v>185</v>
      </c>
      <c r="B126" s="2" t="s">
        <v>14</v>
      </c>
      <c r="C126" s="4">
        <v>45543</v>
      </c>
      <c r="D126" s="2" t="s">
        <v>39</v>
      </c>
      <c r="E126" s="2" t="s">
        <v>42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27</v>
      </c>
      <c r="M126" s="2" t="s">
        <v>34</v>
      </c>
      <c r="N126" s="37">
        <f t="shared" si="1"/>
        <v>0.14265722032712325</v>
      </c>
    </row>
    <row r="127" spans="1:14" ht="15.75" customHeight="1" x14ac:dyDescent="0.25">
      <c r="A127" s="2" t="s">
        <v>186</v>
      </c>
      <c r="B127" s="2" t="s">
        <v>30</v>
      </c>
      <c r="C127" s="4">
        <v>45744</v>
      </c>
      <c r="D127" s="2" t="s">
        <v>39</v>
      </c>
      <c r="E127" s="2" t="s">
        <v>68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51</v>
      </c>
      <c r="N127" s="37">
        <f t="shared" si="1"/>
        <v>9.9829463465827106E-2</v>
      </c>
    </row>
    <row r="128" spans="1:14" ht="15.75" customHeight="1" x14ac:dyDescent="0.25">
      <c r="A128" s="2" t="s">
        <v>187</v>
      </c>
      <c r="B128" s="2" t="s">
        <v>38</v>
      </c>
      <c r="C128" s="4">
        <v>45684</v>
      </c>
      <c r="D128" s="2" t="s">
        <v>15</v>
      </c>
      <c r="E128" s="2" t="s">
        <v>53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51</v>
      </c>
      <c r="M128" s="2" t="s">
        <v>28</v>
      </c>
      <c r="N128" s="37">
        <f t="shared" si="1"/>
        <v>6.9311459413307311E-2</v>
      </c>
    </row>
    <row r="129" spans="1:14" ht="15.75" customHeight="1" x14ac:dyDescent="0.25">
      <c r="A129" s="2" t="s">
        <v>188</v>
      </c>
      <c r="B129" s="2" t="s">
        <v>14</v>
      </c>
      <c r="C129" s="4">
        <v>45667</v>
      </c>
      <c r="D129" s="2" t="s">
        <v>44</v>
      </c>
      <c r="E129" s="2" t="s">
        <v>92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51</v>
      </c>
      <c r="N129" s="37">
        <f t="shared" si="1"/>
        <v>0.12537731780940059</v>
      </c>
    </row>
    <row r="130" spans="1:14" ht="15.75" customHeight="1" x14ac:dyDescent="0.25">
      <c r="A130" s="2" t="s">
        <v>189</v>
      </c>
      <c r="B130" s="2" t="s">
        <v>14</v>
      </c>
      <c r="C130" s="4">
        <v>45494</v>
      </c>
      <c r="D130" s="2" t="s">
        <v>20</v>
      </c>
      <c r="E130" s="2" t="s">
        <v>21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27</v>
      </c>
      <c r="N130" s="37">
        <f t="shared" si="1"/>
        <v>0.17291569632044715</v>
      </c>
    </row>
    <row r="131" spans="1:14" ht="15.75" customHeight="1" x14ac:dyDescent="0.25">
      <c r="A131" s="2" t="s">
        <v>190</v>
      </c>
      <c r="B131" s="2" t="s">
        <v>25</v>
      </c>
      <c r="C131" s="4">
        <v>45564</v>
      </c>
      <c r="D131" s="2" t="s">
        <v>15</v>
      </c>
      <c r="E131" s="2" t="s">
        <v>26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33</v>
      </c>
      <c r="M131" s="2" t="s">
        <v>34</v>
      </c>
      <c r="N131" s="37">
        <f t="shared" ref="N131:N194" si="2">(F131+G131+H131)/I131</f>
        <v>8.9577656675749323E-2</v>
      </c>
    </row>
    <row r="132" spans="1:14" ht="15.75" customHeight="1" x14ac:dyDescent="0.25">
      <c r="A132" s="2" t="s">
        <v>191</v>
      </c>
      <c r="B132" s="2" t="s">
        <v>30</v>
      </c>
      <c r="C132" s="4">
        <v>45586</v>
      </c>
      <c r="D132" s="2" t="s">
        <v>15</v>
      </c>
      <c r="E132" s="2" t="s">
        <v>64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51</v>
      </c>
      <c r="M132" s="2" t="s">
        <v>28</v>
      </c>
      <c r="N132" s="37">
        <f t="shared" si="2"/>
        <v>0.13106060606060607</v>
      </c>
    </row>
    <row r="133" spans="1:14" ht="15.75" customHeight="1" x14ac:dyDescent="0.25">
      <c r="A133" s="2" t="s">
        <v>192</v>
      </c>
      <c r="B133" s="2" t="s">
        <v>30</v>
      </c>
      <c r="C133" s="4">
        <v>45720</v>
      </c>
      <c r="D133" s="2" t="s">
        <v>31</v>
      </c>
      <c r="E133" s="2" t="s">
        <v>32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51</v>
      </c>
      <c r="M133" s="2" t="s">
        <v>23</v>
      </c>
      <c r="N133" s="37">
        <f t="shared" si="2"/>
        <v>0.13493953401503478</v>
      </c>
    </row>
    <row r="134" spans="1:14" ht="15.75" customHeight="1" x14ac:dyDescent="0.25">
      <c r="A134" s="2" t="s">
        <v>193</v>
      </c>
      <c r="B134" s="2" t="s">
        <v>38</v>
      </c>
      <c r="C134" s="4">
        <v>45694</v>
      </c>
      <c r="D134" s="2" t="s">
        <v>44</v>
      </c>
      <c r="E134" s="2" t="s">
        <v>49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27</v>
      </c>
      <c r="M134" s="2" t="s">
        <v>34</v>
      </c>
      <c r="N134" s="37">
        <f t="shared" si="2"/>
        <v>7.172350922350923E-2</v>
      </c>
    </row>
    <row r="135" spans="1:14" ht="15.75" customHeight="1" x14ac:dyDescent="0.25">
      <c r="A135" s="2" t="s">
        <v>194</v>
      </c>
      <c r="B135" s="2" t="s">
        <v>14</v>
      </c>
      <c r="C135" s="4">
        <v>45771</v>
      </c>
      <c r="D135" s="2" t="s">
        <v>15</v>
      </c>
      <c r="E135" s="2" t="s">
        <v>16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27</v>
      </c>
      <c r="M135" s="2" t="s">
        <v>18</v>
      </c>
      <c r="N135" s="37">
        <f t="shared" si="2"/>
        <v>7.1133744304476013E-2</v>
      </c>
    </row>
    <row r="136" spans="1:14" ht="15.75" customHeight="1" x14ac:dyDescent="0.25">
      <c r="A136" s="2" t="s">
        <v>195</v>
      </c>
      <c r="B136" s="2" t="s">
        <v>38</v>
      </c>
      <c r="C136" s="4">
        <v>45624</v>
      </c>
      <c r="D136" s="2" t="s">
        <v>20</v>
      </c>
      <c r="E136" s="2" t="s">
        <v>47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51</v>
      </c>
      <c r="M136" s="2" t="s">
        <v>34</v>
      </c>
      <c r="N136" s="37">
        <f t="shared" si="2"/>
        <v>6.461481657304112E-2</v>
      </c>
    </row>
    <row r="137" spans="1:14" ht="15.75" customHeight="1" x14ac:dyDescent="0.25">
      <c r="A137" s="2" t="s">
        <v>196</v>
      </c>
      <c r="B137" s="2" t="s">
        <v>30</v>
      </c>
      <c r="C137" s="4">
        <v>45484</v>
      </c>
      <c r="D137" s="2" t="s">
        <v>20</v>
      </c>
      <c r="E137" s="2" t="s">
        <v>82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33</v>
      </c>
      <c r="M137" s="2" t="s">
        <v>34</v>
      </c>
      <c r="N137" s="37">
        <f t="shared" si="2"/>
        <v>0.20357370772176134</v>
      </c>
    </row>
    <row r="138" spans="1:14" ht="15.75" customHeight="1" x14ac:dyDescent="0.25">
      <c r="A138" s="2" t="s">
        <v>197</v>
      </c>
      <c r="B138" s="2" t="s">
        <v>38</v>
      </c>
      <c r="C138" s="4">
        <v>45504</v>
      </c>
      <c r="D138" s="2" t="s">
        <v>59</v>
      </c>
      <c r="E138" s="2" t="s">
        <v>60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51</v>
      </c>
      <c r="N138" s="37">
        <f t="shared" si="2"/>
        <v>0.20871010638297871</v>
      </c>
    </row>
    <row r="139" spans="1:14" ht="15.75" customHeight="1" x14ac:dyDescent="0.25">
      <c r="A139" s="2" t="s">
        <v>198</v>
      </c>
      <c r="B139" s="2" t="s">
        <v>14</v>
      </c>
      <c r="C139" s="4">
        <v>45745</v>
      </c>
      <c r="D139" s="2" t="s">
        <v>44</v>
      </c>
      <c r="E139" s="2" t="s">
        <v>92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51</v>
      </c>
      <c r="M139" s="2" t="s">
        <v>28</v>
      </c>
      <c r="N139" s="37">
        <f t="shared" si="2"/>
        <v>0.16065573770491803</v>
      </c>
    </row>
    <row r="140" spans="1:14" ht="15.75" customHeight="1" x14ac:dyDescent="0.25">
      <c r="A140" s="2" t="s">
        <v>199</v>
      </c>
      <c r="B140" s="2" t="s">
        <v>25</v>
      </c>
      <c r="C140" s="4">
        <v>45594</v>
      </c>
      <c r="D140" s="2" t="s">
        <v>20</v>
      </c>
      <c r="E140" s="2" t="s">
        <v>77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33</v>
      </c>
      <c r="M140" s="2" t="s">
        <v>18</v>
      </c>
      <c r="N140" s="37">
        <f t="shared" si="2"/>
        <v>9.422796795338674E-2</v>
      </c>
    </row>
    <row r="141" spans="1:14" ht="15.75" customHeight="1" x14ac:dyDescent="0.25">
      <c r="A141" s="2" t="s">
        <v>200</v>
      </c>
      <c r="B141" s="2" t="s">
        <v>38</v>
      </c>
      <c r="C141" s="4">
        <v>45488</v>
      </c>
      <c r="D141" s="2" t="s">
        <v>44</v>
      </c>
      <c r="E141" s="2" t="s">
        <v>49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201</v>
      </c>
      <c r="M141" s="2" t="s">
        <v>23</v>
      </c>
      <c r="N141" s="37">
        <f t="shared" si="2"/>
        <v>0.15571802706241816</v>
      </c>
    </row>
    <row r="142" spans="1:14" ht="15.75" customHeight="1" x14ac:dyDescent="0.25">
      <c r="A142" s="2" t="s">
        <v>202</v>
      </c>
      <c r="B142" s="2" t="s">
        <v>14</v>
      </c>
      <c r="C142" s="4">
        <v>45535</v>
      </c>
      <c r="D142" s="2" t="s">
        <v>44</v>
      </c>
      <c r="E142" s="2" t="s">
        <v>92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51</v>
      </c>
      <c r="N142" s="37">
        <f t="shared" si="2"/>
        <v>0.2316508937960042</v>
      </c>
    </row>
    <row r="143" spans="1:14" ht="15.75" customHeight="1" x14ac:dyDescent="0.25">
      <c r="A143" s="2" t="s">
        <v>203</v>
      </c>
      <c r="B143" s="2" t="s">
        <v>25</v>
      </c>
      <c r="C143" s="4">
        <v>45741</v>
      </c>
      <c r="D143" s="2" t="s">
        <v>31</v>
      </c>
      <c r="E143" s="2" t="s">
        <v>105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51</v>
      </c>
      <c r="M143" s="2" t="s">
        <v>34</v>
      </c>
      <c r="N143" s="37">
        <f t="shared" si="2"/>
        <v>6.9438087973557078E-2</v>
      </c>
    </row>
    <row r="144" spans="1:14" ht="15.75" customHeight="1" x14ac:dyDescent="0.25">
      <c r="A144" s="2" t="s">
        <v>204</v>
      </c>
      <c r="B144" s="2" t="s">
        <v>25</v>
      </c>
      <c r="C144" s="4">
        <v>45567</v>
      </c>
      <c r="D144" s="2" t="s">
        <v>39</v>
      </c>
      <c r="E144" s="2" t="s">
        <v>55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27</v>
      </c>
      <c r="M144" s="2" t="s">
        <v>28</v>
      </c>
      <c r="N144" s="37">
        <f t="shared" si="2"/>
        <v>0.50192307692307692</v>
      </c>
    </row>
    <row r="145" spans="1:14" ht="15.75" customHeight="1" x14ac:dyDescent="0.25">
      <c r="A145" s="2" t="s">
        <v>205</v>
      </c>
      <c r="B145" s="2" t="s">
        <v>25</v>
      </c>
      <c r="C145" s="4">
        <v>45593</v>
      </c>
      <c r="D145" s="2" t="s">
        <v>31</v>
      </c>
      <c r="E145" s="2" t="s">
        <v>105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33</v>
      </c>
      <c r="M145" s="2" t="s">
        <v>34</v>
      </c>
      <c r="N145" s="37">
        <f t="shared" si="2"/>
        <v>6.5455787978772245E-2</v>
      </c>
    </row>
    <row r="146" spans="1:14" ht="15.75" customHeight="1" x14ac:dyDescent="0.25">
      <c r="A146" s="2" t="s">
        <v>206</v>
      </c>
      <c r="B146" s="2" t="s">
        <v>30</v>
      </c>
      <c r="C146" s="4">
        <v>45516</v>
      </c>
      <c r="D146" s="2" t="s">
        <v>39</v>
      </c>
      <c r="E146" s="2" t="s">
        <v>68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27</v>
      </c>
      <c r="M146" s="2" t="s">
        <v>34</v>
      </c>
      <c r="N146" s="37">
        <f t="shared" si="2"/>
        <v>5.6416400425985093E-2</v>
      </c>
    </row>
    <row r="147" spans="1:14" ht="15.75" customHeight="1" x14ac:dyDescent="0.25">
      <c r="A147" s="2" t="s">
        <v>207</v>
      </c>
      <c r="B147" s="2" t="s">
        <v>25</v>
      </c>
      <c r="C147" s="4">
        <v>45448</v>
      </c>
      <c r="D147" s="2" t="s">
        <v>15</v>
      </c>
      <c r="E147" s="2" t="s">
        <v>26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208</v>
      </c>
      <c r="N147" s="37">
        <f t="shared" si="2"/>
        <v>0.21636759108210984</v>
      </c>
    </row>
    <row r="148" spans="1:14" ht="15.75" customHeight="1" x14ac:dyDescent="0.25">
      <c r="A148" s="2" t="s">
        <v>209</v>
      </c>
      <c r="B148" s="2" t="s">
        <v>30</v>
      </c>
      <c r="C148" s="4">
        <v>45586</v>
      </c>
      <c r="D148" s="2" t="s">
        <v>15</v>
      </c>
      <c r="E148" s="2" t="s">
        <v>64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27</v>
      </c>
      <c r="M148" s="2" t="s">
        <v>23</v>
      </c>
      <c r="N148" s="37">
        <f t="shared" si="2"/>
        <v>0.15283323095823095</v>
      </c>
    </row>
    <row r="149" spans="1:14" ht="15.75" customHeight="1" x14ac:dyDescent="0.25">
      <c r="A149" s="2" t="s">
        <v>210</v>
      </c>
      <c r="B149" s="2" t="s">
        <v>30</v>
      </c>
      <c r="C149" s="4">
        <v>45762</v>
      </c>
      <c r="D149" s="2" t="s">
        <v>59</v>
      </c>
      <c r="E149" s="2" t="s">
        <v>66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33</v>
      </c>
      <c r="M149" s="2" t="s">
        <v>34</v>
      </c>
      <c r="N149" s="37">
        <f t="shared" si="2"/>
        <v>0.19864505202032423</v>
      </c>
    </row>
    <row r="150" spans="1:14" ht="15.75" customHeight="1" x14ac:dyDescent="0.25">
      <c r="A150" s="2" t="s">
        <v>211</v>
      </c>
      <c r="B150" s="2" t="s">
        <v>14</v>
      </c>
      <c r="C150" s="4">
        <v>45459</v>
      </c>
      <c r="D150" s="2" t="s">
        <v>59</v>
      </c>
      <c r="E150" s="2" t="s">
        <v>99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33</v>
      </c>
      <c r="M150" s="2" t="s">
        <v>18</v>
      </c>
      <c r="N150" s="37">
        <f t="shared" si="2"/>
        <v>7.7291421856639245E-2</v>
      </c>
    </row>
    <row r="151" spans="1:14" ht="15.75" customHeight="1" x14ac:dyDescent="0.25">
      <c r="A151" s="2" t="s">
        <v>212</v>
      </c>
      <c r="B151" s="2" t="s">
        <v>25</v>
      </c>
      <c r="C151" s="4">
        <v>45526</v>
      </c>
      <c r="D151" s="2" t="s">
        <v>39</v>
      </c>
      <c r="E151" s="2" t="s">
        <v>55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27</v>
      </c>
      <c r="M151" s="2" t="s">
        <v>34</v>
      </c>
      <c r="N151" s="37">
        <f t="shared" si="2"/>
        <v>6.3713620488940623E-2</v>
      </c>
    </row>
    <row r="152" spans="1:14" ht="15.75" customHeight="1" x14ac:dyDescent="0.25">
      <c r="A152" s="2" t="s">
        <v>213</v>
      </c>
      <c r="B152" s="2" t="s">
        <v>30</v>
      </c>
      <c r="C152" s="4">
        <v>45499</v>
      </c>
      <c r="D152" s="2" t="s">
        <v>44</v>
      </c>
      <c r="E152" s="2" t="s">
        <v>140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33</v>
      </c>
      <c r="M152" s="2" t="s">
        <v>18</v>
      </c>
      <c r="N152" s="37">
        <f t="shared" si="2"/>
        <v>0.10977802753582468</v>
      </c>
    </row>
    <row r="153" spans="1:14" ht="15.75" customHeight="1" x14ac:dyDescent="0.25">
      <c r="A153" s="2" t="s">
        <v>214</v>
      </c>
      <c r="B153" s="2" t="s">
        <v>38</v>
      </c>
      <c r="C153" s="4">
        <v>45769</v>
      </c>
      <c r="D153" s="2" t="s">
        <v>44</v>
      </c>
      <c r="E153" s="2" t="s">
        <v>49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33</v>
      </c>
      <c r="M153" s="2" t="s">
        <v>34</v>
      </c>
      <c r="N153" s="37">
        <f t="shared" si="2"/>
        <v>0.19511518179295032</v>
      </c>
    </row>
    <row r="154" spans="1:14" ht="15.75" customHeight="1" x14ac:dyDescent="0.25">
      <c r="A154" s="2" t="s">
        <v>215</v>
      </c>
      <c r="B154" s="2" t="s">
        <v>14</v>
      </c>
      <c r="C154" s="4">
        <v>45658</v>
      </c>
      <c r="D154" s="2" t="s">
        <v>59</v>
      </c>
      <c r="E154" s="2" t="s">
        <v>99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27</v>
      </c>
      <c r="M154" s="2" t="s">
        <v>28</v>
      </c>
      <c r="N154" s="37">
        <f t="shared" si="2"/>
        <v>0.17801355732390214</v>
      </c>
    </row>
    <row r="155" spans="1:14" ht="15.75" customHeight="1" x14ac:dyDescent="0.25">
      <c r="A155" s="2" t="s">
        <v>216</v>
      </c>
      <c r="B155" s="2" t="s">
        <v>30</v>
      </c>
      <c r="C155" s="4">
        <v>45574</v>
      </c>
      <c r="D155" s="2" t="s">
        <v>39</v>
      </c>
      <c r="E155" s="2" t="s">
        <v>68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51</v>
      </c>
      <c r="M155" s="2" t="s">
        <v>34</v>
      </c>
      <c r="N155" s="37">
        <f t="shared" si="2"/>
        <v>0.31965192168237855</v>
      </c>
    </row>
    <row r="156" spans="1:14" ht="15.75" customHeight="1" x14ac:dyDescent="0.25">
      <c r="A156" s="2" t="s">
        <v>217</v>
      </c>
      <c r="B156" s="2" t="s">
        <v>25</v>
      </c>
      <c r="C156" s="4">
        <v>45647</v>
      </c>
      <c r="D156" s="2" t="s">
        <v>44</v>
      </c>
      <c r="E156" s="2" t="s">
        <v>45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51</v>
      </c>
      <c r="M156" s="2" t="s">
        <v>23</v>
      </c>
      <c r="N156" s="37">
        <f t="shared" si="2"/>
        <v>0.11489268506351293</v>
      </c>
    </row>
    <row r="157" spans="1:14" ht="15.75" customHeight="1" x14ac:dyDescent="0.25">
      <c r="A157" s="2" t="s">
        <v>218</v>
      </c>
      <c r="B157" s="2" t="s">
        <v>38</v>
      </c>
      <c r="C157" s="4">
        <v>45587</v>
      </c>
      <c r="D157" s="2" t="s">
        <v>39</v>
      </c>
      <c r="E157" s="2" t="s">
        <v>40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51</v>
      </c>
      <c r="M157" s="2" t="s">
        <v>23</v>
      </c>
      <c r="N157" s="37">
        <f t="shared" si="2"/>
        <v>0.1095786671562328</v>
      </c>
    </row>
    <row r="158" spans="1:14" ht="15.75" customHeight="1" x14ac:dyDescent="0.25">
      <c r="A158" s="2" t="s">
        <v>219</v>
      </c>
      <c r="B158" s="2" t="s">
        <v>25</v>
      </c>
      <c r="C158" s="4">
        <v>45496</v>
      </c>
      <c r="D158" s="2" t="s">
        <v>31</v>
      </c>
      <c r="E158" s="2" t="s">
        <v>105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51</v>
      </c>
      <c r="M158" s="2" t="s">
        <v>23</v>
      </c>
      <c r="N158" s="37">
        <f t="shared" si="2"/>
        <v>0.10793717277486911</v>
      </c>
    </row>
    <row r="159" spans="1:14" ht="15.75" customHeight="1" x14ac:dyDescent="0.25">
      <c r="A159" s="2" t="s">
        <v>220</v>
      </c>
      <c r="B159" s="2" t="s">
        <v>30</v>
      </c>
      <c r="C159" s="4">
        <v>45515</v>
      </c>
      <c r="D159" s="2" t="s">
        <v>31</v>
      </c>
      <c r="E159" s="2" t="s">
        <v>32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27</v>
      </c>
      <c r="M159" s="2" t="s">
        <v>18</v>
      </c>
      <c r="N159" s="37">
        <f t="shared" si="2"/>
        <v>0.11307081114118571</v>
      </c>
    </row>
    <row r="160" spans="1:14" ht="15.75" customHeight="1" x14ac:dyDescent="0.25">
      <c r="A160" s="2" t="s">
        <v>221</v>
      </c>
      <c r="B160" s="2" t="s">
        <v>38</v>
      </c>
      <c r="C160" s="4">
        <v>45621</v>
      </c>
      <c r="D160" s="2" t="s">
        <v>31</v>
      </c>
      <c r="E160" s="2" t="s">
        <v>57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51</v>
      </c>
      <c r="M160" s="2" t="s">
        <v>23</v>
      </c>
      <c r="N160" s="37">
        <f t="shared" si="2"/>
        <v>0.21745283018867925</v>
      </c>
    </row>
    <row r="161" spans="1:14" ht="15.75" customHeight="1" x14ac:dyDescent="0.25">
      <c r="A161" s="2" t="s">
        <v>222</v>
      </c>
      <c r="B161" s="2" t="s">
        <v>14</v>
      </c>
      <c r="C161" s="4">
        <v>45528</v>
      </c>
      <c r="D161" s="2" t="s">
        <v>59</v>
      </c>
      <c r="E161" s="2" t="s">
        <v>99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27</v>
      </c>
      <c r="N161" s="37">
        <f t="shared" si="2"/>
        <v>9.1137810638734856E-2</v>
      </c>
    </row>
    <row r="162" spans="1:14" ht="15.75" customHeight="1" x14ac:dyDescent="0.25">
      <c r="A162" s="2" t="s">
        <v>223</v>
      </c>
      <c r="B162" s="2" t="s">
        <v>14</v>
      </c>
      <c r="C162" s="4">
        <v>45707</v>
      </c>
      <c r="D162" s="2" t="s">
        <v>20</v>
      </c>
      <c r="E162" s="2" t="s">
        <v>21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27</v>
      </c>
      <c r="M162" s="2" t="s">
        <v>34</v>
      </c>
      <c r="N162" s="37">
        <f t="shared" si="2"/>
        <v>0.11508145034156594</v>
      </c>
    </row>
    <row r="163" spans="1:14" ht="15.75" customHeight="1" x14ac:dyDescent="0.25">
      <c r="A163" s="2" t="s">
        <v>224</v>
      </c>
      <c r="B163" s="2" t="s">
        <v>38</v>
      </c>
      <c r="C163" s="4">
        <v>45748</v>
      </c>
      <c r="D163" s="2" t="s">
        <v>31</v>
      </c>
      <c r="E163" s="2" t="s">
        <v>57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51</v>
      </c>
      <c r="N163" s="37">
        <f t="shared" si="2"/>
        <v>8.6630570595585168E-2</v>
      </c>
    </row>
    <row r="164" spans="1:14" ht="15.75" customHeight="1" x14ac:dyDescent="0.25">
      <c r="A164" s="2" t="s">
        <v>225</v>
      </c>
      <c r="B164" s="2" t="s">
        <v>30</v>
      </c>
      <c r="C164" s="4">
        <v>45755</v>
      </c>
      <c r="D164" s="2" t="s">
        <v>44</v>
      </c>
      <c r="E164" s="2" t="s">
        <v>140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27</v>
      </c>
      <c r="M164" s="2" t="s">
        <v>23</v>
      </c>
      <c r="N164" s="37">
        <f t="shared" si="2"/>
        <v>0.23101532992668297</v>
      </c>
    </row>
    <row r="165" spans="1:14" ht="15.75" customHeight="1" x14ac:dyDescent="0.25">
      <c r="A165" s="2" t="s">
        <v>226</v>
      </c>
      <c r="B165" s="2" t="s">
        <v>25</v>
      </c>
      <c r="C165" s="4">
        <v>45715</v>
      </c>
      <c r="D165" s="2" t="s">
        <v>20</v>
      </c>
      <c r="E165" s="2" t="s">
        <v>77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72</v>
      </c>
      <c r="M165" s="2" t="s">
        <v>34</v>
      </c>
      <c r="N165" s="37">
        <f t="shared" si="2"/>
        <v>0.15355188488042157</v>
      </c>
    </row>
    <row r="166" spans="1:14" ht="15.75" customHeight="1" x14ac:dyDescent="0.25">
      <c r="A166" s="2" t="s">
        <v>227</v>
      </c>
      <c r="B166" s="2" t="s">
        <v>14</v>
      </c>
      <c r="C166" s="4">
        <v>45637</v>
      </c>
      <c r="D166" s="2" t="s">
        <v>20</v>
      </c>
      <c r="E166" s="2" t="s">
        <v>21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27</v>
      </c>
      <c r="M166" s="2" t="s">
        <v>23</v>
      </c>
      <c r="N166" s="37">
        <f t="shared" si="2"/>
        <v>0.15405989502933004</v>
      </c>
    </row>
    <row r="167" spans="1:14" ht="15.75" customHeight="1" x14ac:dyDescent="0.25">
      <c r="A167" s="2" t="s">
        <v>228</v>
      </c>
      <c r="B167" s="2" t="s">
        <v>14</v>
      </c>
      <c r="C167" s="4">
        <v>45704</v>
      </c>
      <c r="D167" s="2" t="s">
        <v>15</v>
      </c>
      <c r="E167" s="2" t="s">
        <v>16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51</v>
      </c>
      <c r="M167" s="2" t="s">
        <v>18</v>
      </c>
      <c r="N167" s="37">
        <f t="shared" si="2"/>
        <v>0.14320716458262928</v>
      </c>
    </row>
    <row r="168" spans="1:14" ht="15.75" customHeight="1" x14ac:dyDescent="0.25">
      <c r="A168" s="2" t="s">
        <v>229</v>
      </c>
      <c r="B168" s="2" t="s">
        <v>30</v>
      </c>
      <c r="C168" s="4">
        <v>45624</v>
      </c>
      <c r="D168" s="2" t="s">
        <v>20</v>
      </c>
      <c r="E168" s="2" t="s">
        <v>82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51</v>
      </c>
      <c r="N168" s="37">
        <f t="shared" si="2"/>
        <v>9.859917557465242E-2</v>
      </c>
    </row>
    <row r="169" spans="1:14" ht="15.75" customHeight="1" x14ac:dyDescent="0.25">
      <c r="A169" s="2" t="s">
        <v>230</v>
      </c>
      <c r="B169" s="2" t="s">
        <v>38</v>
      </c>
      <c r="C169" s="4">
        <v>45608</v>
      </c>
      <c r="D169" s="2" t="s">
        <v>20</v>
      </c>
      <c r="E169" s="2" t="s">
        <v>47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33</v>
      </c>
      <c r="M169" s="2" t="s">
        <v>18</v>
      </c>
      <c r="N169" s="37">
        <f t="shared" si="2"/>
        <v>7.412002573292896E-2</v>
      </c>
    </row>
    <row r="170" spans="1:14" ht="15.75" customHeight="1" x14ac:dyDescent="0.25">
      <c r="A170" s="2" t="s">
        <v>231</v>
      </c>
      <c r="B170" s="2" t="s">
        <v>25</v>
      </c>
      <c r="C170" s="4">
        <v>45629</v>
      </c>
      <c r="D170" s="2" t="s">
        <v>59</v>
      </c>
      <c r="E170" s="2" t="s">
        <v>143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33</v>
      </c>
      <c r="M170" s="2" t="s">
        <v>18</v>
      </c>
      <c r="N170" s="37">
        <f t="shared" si="2"/>
        <v>0.12490884163239112</v>
      </c>
    </row>
    <row r="171" spans="1:14" ht="15.75" customHeight="1" x14ac:dyDescent="0.25">
      <c r="A171" s="2" t="s">
        <v>232</v>
      </c>
      <c r="B171" s="2" t="s">
        <v>14</v>
      </c>
      <c r="C171" s="4">
        <v>45775</v>
      </c>
      <c r="D171" s="2" t="s">
        <v>20</v>
      </c>
      <c r="E171" s="2" t="s">
        <v>21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27</v>
      </c>
      <c r="M171" s="2" t="s">
        <v>28</v>
      </c>
      <c r="N171" s="37">
        <f t="shared" si="2"/>
        <v>6.8655003457763777E-2</v>
      </c>
    </row>
    <row r="172" spans="1:14" ht="15.75" customHeight="1" x14ac:dyDescent="0.25">
      <c r="A172" s="2" t="s">
        <v>233</v>
      </c>
      <c r="B172" s="2" t="s">
        <v>25</v>
      </c>
      <c r="C172" s="4">
        <v>45657</v>
      </c>
      <c r="D172" s="2" t="s">
        <v>59</v>
      </c>
      <c r="E172" s="2" t="s">
        <v>143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51</v>
      </c>
      <c r="M172" s="2" t="s">
        <v>23</v>
      </c>
      <c r="N172" s="37">
        <f t="shared" si="2"/>
        <v>9.8068107400130972E-2</v>
      </c>
    </row>
    <row r="173" spans="1:14" ht="15.75" customHeight="1" x14ac:dyDescent="0.25">
      <c r="A173" s="2" t="s">
        <v>234</v>
      </c>
      <c r="B173" s="2" t="s">
        <v>38</v>
      </c>
      <c r="C173" s="4">
        <v>45518</v>
      </c>
      <c r="D173" s="2" t="s">
        <v>39</v>
      </c>
      <c r="E173" s="2" t="s">
        <v>40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33</v>
      </c>
      <c r="M173" s="2" t="s">
        <v>28</v>
      </c>
      <c r="N173" s="37">
        <f t="shared" si="2"/>
        <v>7.2739802071170159E-2</v>
      </c>
    </row>
    <row r="174" spans="1:14" ht="15.75" customHeight="1" x14ac:dyDescent="0.25">
      <c r="A174" s="2" t="s">
        <v>235</v>
      </c>
      <c r="B174" s="2" t="s">
        <v>14</v>
      </c>
      <c r="C174" s="4">
        <v>45631</v>
      </c>
      <c r="D174" s="2" t="s">
        <v>59</v>
      </c>
      <c r="E174" s="2" t="s">
        <v>99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51</v>
      </c>
      <c r="M174" s="2" t="s">
        <v>28</v>
      </c>
      <c r="N174" s="37">
        <f t="shared" si="2"/>
        <v>0.14348370927318296</v>
      </c>
    </row>
    <row r="175" spans="1:14" ht="15.75" customHeight="1" x14ac:dyDescent="0.25">
      <c r="A175" s="2" t="s">
        <v>236</v>
      </c>
      <c r="B175" s="2" t="s">
        <v>38</v>
      </c>
      <c r="C175" s="4">
        <v>45465</v>
      </c>
      <c r="D175" s="2" t="s">
        <v>20</v>
      </c>
      <c r="E175" s="2" t="s">
        <v>47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33</v>
      </c>
      <c r="N175" s="37">
        <f t="shared" si="2"/>
        <v>0.13809430512016718</v>
      </c>
    </row>
    <row r="176" spans="1:14" ht="15.75" customHeight="1" x14ac:dyDescent="0.25">
      <c r="A176" s="2" t="s">
        <v>237</v>
      </c>
      <c r="B176" s="2" t="s">
        <v>30</v>
      </c>
      <c r="C176" s="4">
        <v>45674</v>
      </c>
      <c r="D176" s="2" t="s">
        <v>15</v>
      </c>
      <c r="E176" s="2" t="s">
        <v>64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51</v>
      </c>
      <c r="M176" s="2" t="s">
        <v>34</v>
      </c>
      <c r="N176" s="37">
        <f t="shared" si="2"/>
        <v>0.6508215962441315</v>
      </c>
    </row>
    <row r="177" spans="1:14" ht="15.75" customHeight="1" x14ac:dyDescent="0.25">
      <c r="A177" s="2" t="s">
        <v>238</v>
      </c>
      <c r="B177" s="2" t="s">
        <v>38</v>
      </c>
      <c r="C177" s="4">
        <v>45463</v>
      </c>
      <c r="D177" s="2" t="s">
        <v>59</v>
      </c>
      <c r="E177" s="2" t="s">
        <v>60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27</v>
      </c>
      <c r="M177" s="2" t="s">
        <v>18</v>
      </c>
      <c r="N177" s="37">
        <f t="shared" si="2"/>
        <v>5.4081095313322801E-2</v>
      </c>
    </row>
    <row r="178" spans="1:14" ht="15.75" customHeight="1" x14ac:dyDescent="0.25">
      <c r="A178" s="2" t="s">
        <v>239</v>
      </c>
      <c r="B178" s="2" t="s">
        <v>30</v>
      </c>
      <c r="C178" s="4">
        <v>45483</v>
      </c>
      <c r="D178" s="2" t="s">
        <v>39</v>
      </c>
      <c r="E178" s="2" t="s">
        <v>68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27</v>
      </c>
      <c r="M178" s="2" t="s">
        <v>28</v>
      </c>
      <c r="N178" s="37">
        <f t="shared" si="2"/>
        <v>9.1365878393951966E-2</v>
      </c>
    </row>
    <row r="179" spans="1:14" ht="15.75" customHeight="1" x14ac:dyDescent="0.25">
      <c r="A179" s="2" t="s">
        <v>240</v>
      </c>
      <c r="B179" s="2" t="s">
        <v>30</v>
      </c>
      <c r="C179" s="4">
        <v>45603</v>
      </c>
      <c r="D179" s="2" t="s">
        <v>59</v>
      </c>
      <c r="E179" s="2" t="s">
        <v>66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27</v>
      </c>
      <c r="M179" s="2" t="s">
        <v>34</v>
      </c>
      <c r="N179" s="37">
        <f t="shared" si="2"/>
        <v>0.70387596899224802</v>
      </c>
    </row>
    <row r="180" spans="1:14" ht="15.75" customHeight="1" x14ac:dyDescent="0.25">
      <c r="A180" s="2" t="s">
        <v>241</v>
      </c>
      <c r="B180" s="2" t="s">
        <v>38</v>
      </c>
      <c r="C180" s="4">
        <v>45488</v>
      </c>
      <c r="D180" s="2" t="s">
        <v>39</v>
      </c>
      <c r="E180" s="2" t="s">
        <v>40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27</v>
      </c>
      <c r="N180" s="37">
        <f t="shared" si="2"/>
        <v>7.5280481001673588E-2</v>
      </c>
    </row>
    <row r="181" spans="1:14" ht="15.75" customHeight="1" x14ac:dyDescent="0.25">
      <c r="A181" s="2" t="s">
        <v>242</v>
      </c>
      <c r="B181" s="2" t="s">
        <v>25</v>
      </c>
      <c r="C181" s="4">
        <v>45629</v>
      </c>
      <c r="D181" s="2" t="s">
        <v>20</v>
      </c>
      <c r="E181" s="2" t="s">
        <v>77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27</v>
      </c>
      <c r="M181" s="2" t="s">
        <v>18</v>
      </c>
      <c r="N181" s="37">
        <f t="shared" si="2"/>
        <v>9.023070704558174E-2</v>
      </c>
    </row>
    <row r="182" spans="1:14" ht="15.75" customHeight="1" x14ac:dyDescent="0.25">
      <c r="A182" s="2" t="s">
        <v>243</v>
      </c>
      <c r="B182" s="2" t="s">
        <v>25</v>
      </c>
      <c r="C182" s="4">
        <v>45737</v>
      </c>
      <c r="D182" s="2" t="s">
        <v>44</v>
      </c>
      <c r="E182" s="2" t="s">
        <v>45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33</v>
      </c>
      <c r="M182" s="2" t="s">
        <v>28</v>
      </c>
      <c r="N182" s="37">
        <f t="shared" si="2"/>
        <v>0.23673521198273673</v>
      </c>
    </row>
    <row r="183" spans="1:14" ht="15.75" customHeight="1" x14ac:dyDescent="0.25">
      <c r="A183" s="2" t="s">
        <v>244</v>
      </c>
      <c r="B183" s="2" t="s">
        <v>38</v>
      </c>
      <c r="C183" s="4">
        <v>45504</v>
      </c>
      <c r="D183" s="2" t="s">
        <v>44</v>
      </c>
      <c r="E183" s="2" t="s">
        <v>49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27</v>
      </c>
      <c r="M183" s="2" t="s">
        <v>34</v>
      </c>
      <c r="N183" s="37">
        <f t="shared" si="2"/>
        <v>0.10132030477519921</v>
      </c>
    </row>
    <row r="184" spans="1:14" ht="15.75" customHeight="1" x14ac:dyDescent="0.25">
      <c r="A184" s="2" t="s">
        <v>245</v>
      </c>
      <c r="B184" s="2" t="s">
        <v>30</v>
      </c>
      <c r="C184" s="4">
        <v>45643</v>
      </c>
      <c r="D184" s="2" t="s">
        <v>31</v>
      </c>
      <c r="E184" s="2" t="s">
        <v>32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51</v>
      </c>
      <c r="M184" s="2" t="s">
        <v>23</v>
      </c>
      <c r="N184" s="37">
        <f t="shared" si="2"/>
        <v>0.28696581196581195</v>
      </c>
    </row>
    <row r="185" spans="1:14" ht="15.75" customHeight="1" x14ac:dyDescent="0.25">
      <c r="A185" s="2" t="s">
        <v>246</v>
      </c>
      <c r="B185" s="2" t="s">
        <v>14</v>
      </c>
      <c r="C185" s="4">
        <v>45501</v>
      </c>
      <c r="D185" s="2" t="s">
        <v>44</v>
      </c>
      <c r="E185" s="2" t="s">
        <v>92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33</v>
      </c>
      <c r="M185" s="2" t="s">
        <v>18</v>
      </c>
      <c r="N185" s="37">
        <f t="shared" si="2"/>
        <v>0.13614307931570763</v>
      </c>
    </row>
    <row r="186" spans="1:14" ht="15.75" customHeight="1" x14ac:dyDescent="0.25">
      <c r="A186" s="2" t="s">
        <v>247</v>
      </c>
      <c r="B186" s="2" t="s">
        <v>30</v>
      </c>
      <c r="C186" s="4">
        <v>45668</v>
      </c>
      <c r="D186" s="2" t="s">
        <v>39</v>
      </c>
      <c r="E186" s="2" t="s">
        <v>68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33</v>
      </c>
      <c r="N186" s="37">
        <f t="shared" si="2"/>
        <v>9.5290736237010829E-2</v>
      </c>
    </row>
    <row r="187" spans="1:14" ht="15.75" customHeight="1" x14ac:dyDescent="0.25">
      <c r="A187" s="2" t="s">
        <v>248</v>
      </c>
      <c r="B187" s="2" t="s">
        <v>38</v>
      </c>
      <c r="C187" s="4">
        <v>45528</v>
      </c>
      <c r="D187" s="2" t="s">
        <v>39</v>
      </c>
      <c r="E187" s="2" t="s">
        <v>40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33</v>
      </c>
      <c r="M187" s="2" t="s">
        <v>28</v>
      </c>
      <c r="N187" s="37">
        <f t="shared" si="2"/>
        <v>8.4862714173059003E-2</v>
      </c>
    </row>
    <row r="188" spans="1:14" ht="15.75" customHeight="1" x14ac:dyDescent="0.25">
      <c r="A188" s="2" t="s">
        <v>249</v>
      </c>
      <c r="B188" s="2" t="s">
        <v>14</v>
      </c>
      <c r="C188" s="4">
        <v>45648</v>
      </c>
      <c r="D188" s="2" t="s">
        <v>15</v>
      </c>
      <c r="E188" s="2" t="s">
        <v>16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33</v>
      </c>
      <c r="M188" s="2" t="s">
        <v>28</v>
      </c>
      <c r="N188" s="37">
        <f t="shared" si="2"/>
        <v>8.3726921425504502E-2</v>
      </c>
    </row>
    <row r="189" spans="1:14" ht="15.75" customHeight="1" x14ac:dyDescent="0.25">
      <c r="A189" s="2" t="s">
        <v>250</v>
      </c>
      <c r="B189" s="2" t="s">
        <v>25</v>
      </c>
      <c r="C189" s="4">
        <v>45449</v>
      </c>
      <c r="D189" s="2" t="s">
        <v>15</v>
      </c>
      <c r="E189" s="2" t="s">
        <v>26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51</v>
      </c>
      <c r="M189" s="2" t="s">
        <v>23</v>
      </c>
      <c r="N189" s="37">
        <f t="shared" si="2"/>
        <v>8.4946236559139784E-2</v>
      </c>
    </row>
    <row r="190" spans="1:14" ht="15.75" customHeight="1" x14ac:dyDescent="0.25">
      <c r="A190" s="2" t="s">
        <v>251</v>
      </c>
      <c r="B190" s="2" t="s">
        <v>38</v>
      </c>
      <c r="C190" s="4">
        <v>45740</v>
      </c>
      <c r="D190" s="2" t="s">
        <v>15</v>
      </c>
      <c r="E190" s="2" t="s">
        <v>53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27</v>
      </c>
      <c r="M190" s="2" t="s">
        <v>18</v>
      </c>
      <c r="N190" s="37">
        <f t="shared" si="2"/>
        <v>7.2503306878306875E-2</v>
      </c>
    </row>
    <row r="191" spans="1:14" ht="15.75" customHeight="1" x14ac:dyDescent="0.25">
      <c r="A191" s="2" t="s">
        <v>252</v>
      </c>
      <c r="B191" s="2" t="s">
        <v>25</v>
      </c>
      <c r="C191" s="4">
        <v>45569</v>
      </c>
      <c r="D191" s="2" t="s">
        <v>20</v>
      </c>
      <c r="E191" s="2" t="s">
        <v>77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51</v>
      </c>
      <c r="N191" s="37">
        <f t="shared" si="2"/>
        <v>5.5909322465613857E-2</v>
      </c>
    </row>
    <row r="192" spans="1:14" ht="15.75" customHeight="1" x14ac:dyDescent="0.25">
      <c r="A192" s="2" t="s">
        <v>253</v>
      </c>
      <c r="B192" s="2" t="s">
        <v>25</v>
      </c>
      <c r="C192" s="4">
        <v>45629</v>
      </c>
      <c r="D192" s="2" t="s">
        <v>31</v>
      </c>
      <c r="E192" s="2" t="s">
        <v>105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51</v>
      </c>
      <c r="M192" s="2" t="s">
        <v>28</v>
      </c>
      <c r="N192" s="37">
        <f t="shared" si="2"/>
        <v>9.9578134817341346E-2</v>
      </c>
    </row>
    <row r="193" spans="1:14" ht="15.75" customHeight="1" x14ac:dyDescent="0.25">
      <c r="A193" s="2" t="s">
        <v>254</v>
      </c>
      <c r="B193" s="2" t="s">
        <v>30</v>
      </c>
      <c r="C193" s="4">
        <v>45625</v>
      </c>
      <c r="D193" s="2" t="s">
        <v>59</v>
      </c>
      <c r="E193" s="2" t="s">
        <v>66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33</v>
      </c>
      <c r="N193" s="37">
        <f t="shared" si="2"/>
        <v>0.1441326530612245</v>
      </c>
    </row>
    <row r="194" spans="1:14" ht="15.75" customHeight="1" x14ac:dyDescent="0.25">
      <c r="A194" s="2" t="s">
        <v>255</v>
      </c>
      <c r="B194" s="2" t="s">
        <v>14</v>
      </c>
      <c r="C194" s="4">
        <v>45546</v>
      </c>
      <c r="D194" s="2" t="s">
        <v>44</v>
      </c>
      <c r="E194" s="2" t="s">
        <v>92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33</v>
      </c>
      <c r="M194" s="2" t="s">
        <v>28</v>
      </c>
      <c r="N194" s="37">
        <f t="shared" si="2"/>
        <v>9.9255211647142488E-2</v>
      </c>
    </row>
    <row r="195" spans="1:14" ht="15.75" customHeight="1" x14ac:dyDescent="0.25">
      <c r="A195" s="2" t="s">
        <v>256</v>
      </c>
      <c r="B195" s="2" t="s">
        <v>25</v>
      </c>
      <c r="C195" s="4">
        <v>45567</v>
      </c>
      <c r="D195" s="2" t="s">
        <v>31</v>
      </c>
      <c r="E195" s="2" t="s">
        <v>105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33</v>
      </c>
      <c r="M195" s="2" t="s">
        <v>18</v>
      </c>
      <c r="N195" s="37">
        <f t="shared" ref="N195:N258" si="3">(F195+G195+H195)/I195</f>
        <v>8.4203612479474554E-2</v>
      </c>
    </row>
    <row r="196" spans="1:14" ht="15.75" customHeight="1" x14ac:dyDescent="0.25">
      <c r="A196" s="2" t="s">
        <v>257</v>
      </c>
      <c r="B196" s="2" t="s">
        <v>30</v>
      </c>
      <c r="C196" s="4">
        <v>45519</v>
      </c>
      <c r="D196" s="2" t="s">
        <v>39</v>
      </c>
      <c r="E196" s="2" t="s">
        <v>68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141</v>
      </c>
      <c r="M196" s="2" t="s">
        <v>34</v>
      </c>
      <c r="N196" s="37">
        <f t="shared" si="3"/>
        <v>0.13667732704931829</v>
      </c>
    </row>
    <row r="197" spans="1:14" ht="15.75" customHeight="1" x14ac:dyDescent="0.25">
      <c r="A197" s="2" t="s">
        <v>258</v>
      </c>
      <c r="B197" s="2" t="s">
        <v>30</v>
      </c>
      <c r="C197" s="4">
        <v>45645</v>
      </c>
      <c r="D197" s="2" t="s">
        <v>20</v>
      </c>
      <c r="E197" s="2" t="s">
        <v>82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33</v>
      </c>
      <c r="M197" s="2" t="s">
        <v>28</v>
      </c>
      <c r="N197" s="37">
        <f t="shared" si="3"/>
        <v>0.12575841147269717</v>
      </c>
    </row>
    <row r="198" spans="1:14" ht="15.75" customHeight="1" x14ac:dyDescent="0.25">
      <c r="A198" s="2" t="s">
        <v>259</v>
      </c>
      <c r="B198" s="2" t="s">
        <v>14</v>
      </c>
      <c r="C198" s="4">
        <v>45587</v>
      </c>
      <c r="D198" s="2" t="s">
        <v>15</v>
      </c>
      <c r="E198" s="2" t="s">
        <v>16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33</v>
      </c>
      <c r="M198" s="2" t="s">
        <v>18</v>
      </c>
      <c r="N198" s="37">
        <f t="shared" si="3"/>
        <v>6.4884520656164318E-2</v>
      </c>
    </row>
    <row r="199" spans="1:14" ht="15.75" customHeight="1" x14ac:dyDescent="0.25">
      <c r="A199" s="2" t="s">
        <v>260</v>
      </c>
      <c r="B199" s="2" t="s">
        <v>14</v>
      </c>
      <c r="C199" s="4">
        <v>45549</v>
      </c>
      <c r="D199" s="2" t="s">
        <v>44</v>
      </c>
      <c r="E199" s="2" t="s">
        <v>92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27</v>
      </c>
      <c r="M199" s="2" t="s">
        <v>28</v>
      </c>
      <c r="N199" s="37">
        <f t="shared" si="3"/>
        <v>0.19847328244274809</v>
      </c>
    </row>
    <row r="200" spans="1:14" ht="15.75" customHeight="1" x14ac:dyDescent="0.25">
      <c r="A200" s="2" t="s">
        <v>261</v>
      </c>
      <c r="B200" s="2" t="s">
        <v>25</v>
      </c>
      <c r="C200" s="4">
        <v>45626</v>
      </c>
      <c r="D200" s="2" t="s">
        <v>39</v>
      </c>
      <c r="E200" s="2" t="s">
        <v>55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27</v>
      </c>
      <c r="M200" s="2" t="s">
        <v>23</v>
      </c>
      <c r="N200" s="37">
        <f t="shared" si="3"/>
        <v>8.5520696919660646E-2</v>
      </c>
    </row>
    <row r="201" spans="1:14" ht="15.75" customHeight="1" x14ac:dyDescent="0.25">
      <c r="A201" s="2" t="s">
        <v>262</v>
      </c>
      <c r="B201" s="2" t="s">
        <v>38</v>
      </c>
      <c r="C201" s="4">
        <v>45754</v>
      </c>
      <c r="D201" s="2" t="s">
        <v>15</v>
      </c>
      <c r="E201" s="2" t="s">
        <v>53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27</v>
      </c>
      <c r="M201" s="2" t="s">
        <v>23</v>
      </c>
      <c r="N201" s="37">
        <f t="shared" si="3"/>
        <v>6.246991874522239E-2</v>
      </c>
    </row>
    <row r="202" spans="1:14" ht="15.75" customHeight="1" x14ac:dyDescent="0.25">
      <c r="A202" s="2" t="s">
        <v>263</v>
      </c>
      <c r="B202" s="2" t="s">
        <v>14</v>
      </c>
      <c r="C202" s="4">
        <v>45672</v>
      </c>
      <c r="D202" s="2" t="s">
        <v>15</v>
      </c>
      <c r="E202" s="2" t="s">
        <v>16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33</v>
      </c>
      <c r="M202" s="2" t="s">
        <v>18</v>
      </c>
      <c r="N202" s="37">
        <f t="shared" si="3"/>
        <v>9.0606816292601824E-2</v>
      </c>
    </row>
    <row r="203" spans="1:14" ht="15.75" customHeight="1" x14ac:dyDescent="0.25">
      <c r="A203" s="2" t="s">
        <v>264</v>
      </c>
      <c r="B203" s="2" t="s">
        <v>38</v>
      </c>
      <c r="C203" s="4">
        <v>45445</v>
      </c>
      <c r="D203" s="2" t="s">
        <v>44</v>
      </c>
      <c r="E203" s="2" t="s">
        <v>49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33</v>
      </c>
      <c r="M203" s="2" t="s">
        <v>28</v>
      </c>
      <c r="N203" s="37">
        <f t="shared" si="3"/>
        <v>8.2108498129342594E-2</v>
      </c>
    </row>
    <row r="204" spans="1:14" ht="15.75" customHeight="1" x14ac:dyDescent="0.25">
      <c r="A204" s="2" t="s">
        <v>265</v>
      </c>
      <c r="B204" s="2" t="s">
        <v>30</v>
      </c>
      <c r="C204" s="4">
        <v>45617</v>
      </c>
      <c r="D204" s="2" t="s">
        <v>39</v>
      </c>
      <c r="E204" s="2" t="s">
        <v>68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51</v>
      </c>
      <c r="M204" s="2" t="s">
        <v>18</v>
      </c>
      <c r="N204" s="37">
        <f t="shared" si="3"/>
        <v>5.7332570758993957E-2</v>
      </c>
    </row>
    <row r="205" spans="1:14" ht="15.75" customHeight="1" x14ac:dyDescent="0.25">
      <c r="A205" s="2" t="s">
        <v>266</v>
      </c>
      <c r="B205" s="2" t="s">
        <v>30</v>
      </c>
      <c r="C205" s="4">
        <v>45658</v>
      </c>
      <c r="D205" s="2" t="s">
        <v>39</v>
      </c>
      <c r="E205" s="2" t="s">
        <v>68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51</v>
      </c>
      <c r="M205" s="2" t="s">
        <v>28</v>
      </c>
      <c r="N205" s="37">
        <f t="shared" si="3"/>
        <v>0.29713518352730528</v>
      </c>
    </row>
    <row r="206" spans="1:14" ht="15.75" customHeight="1" x14ac:dyDescent="0.25">
      <c r="A206" s="2" t="s">
        <v>267</v>
      </c>
      <c r="B206" s="2" t="s">
        <v>14</v>
      </c>
      <c r="C206" s="4">
        <v>45771</v>
      </c>
      <c r="D206" s="2" t="s">
        <v>59</v>
      </c>
      <c r="E206" s="2" t="s">
        <v>99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268</v>
      </c>
      <c r="M206" s="2" t="s">
        <v>34</v>
      </c>
      <c r="N206" s="37">
        <f t="shared" si="3"/>
        <v>0.1043848167539267</v>
      </c>
    </row>
    <row r="207" spans="1:14" ht="15.75" customHeight="1" x14ac:dyDescent="0.25">
      <c r="A207" s="2" t="s">
        <v>269</v>
      </c>
      <c r="B207" s="2" t="s">
        <v>14</v>
      </c>
      <c r="C207" s="4">
        <v>45467</v>
      </c>
      <c r="D207" s="2" t="s">
        <v>20</v>
      </c>
      <c r="E207" s="2" t="s">
        <v>21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33</v>
      </c>
      <c r="M207" s="2" t="s">
        <v>18</v>
      </c>
      <c r="N207" s="37">
        <f t="shared" si="3"/>
        <v>0.10768685795253277</v>
      </c>
    </row>
    <row r="208" spans="1:14" ht="15.75" customHeight="1" x14ac:dyDescent="0.25">
      <c r="A208" s="2" t="s">
        <v>270</v>
      </c>
      <c r="B208" s="2" t="s">
        <v>14</v>
      </c>
      <c r="C208" s="4">
        <v>45655</v>
      </c>
      <c r="D208" s="2" t="s">
        <v>39</v>
      </c>
      <c r="E208" s="2" t="s">
        <v>42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268</v>
      </c>
      <c r="M208" s="2" t="s">
        <v>28</v>
      </c>
      <c r="N208" s="37">
        <f t="shared" si="3"/>
        <v>0.14316214319138981</v>
      </c>
    </row>
    <row r="209" spans="1:14" ht="15.75" customHeight="1" x14ac:dyDescent="0.25">
      <c r="A209" s="2" t="s">
        <v>271</v>
      </c>
      <c r="B209" s="2" t="s">
        <v>25</v>
      </c>
      <c r="C209" s="4">
        <v>45467</v>
      </c>
      <c r="D209" s="2" t="s">
        <v>59</v>
      </c>
      <c r="E209" s="2" t="s">
        <v>143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27</v>
      </c>
      <c r="M209" s="2" t="s">
        <v>23</v>
      </c>
      <c r="N209" s="37">
        <f t="shared" si="3"/>
        <v>8.6537809426924378E-2</v>
      </c>
    </row>
    <row r="210" spans="1:14" ht="15.75" customHeight="1" x14ac:dyDescent="0.25">
      <c r="A210" s="2" t="s">
        <v>272</v>
      </c>
      <c r="B210" s="2" t="s">
        <v>14</v>
      </c>
      <c r="C210" s="4">
        <v>45735</v>
      </c>
      <c r="D210" s="2" t="s">
        <v>59</v>
      </c>
      <c r="E210" s="2" t="s">
        <v>99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17</v>
      </c>
      <c r="M210" s="2" t="s">
        <v>34</v>
      </c>
      <c r="N210" s="37">
        <f t="shared" si="3"/>
        <v>8.2753164556962022E-2</v>
      </c>
    </row>
    <row r="211" spans="1:14" ht="15.75" customHeight="1" x14ac:dyDescent="0.25">
      <c r="A211" s="2" t="s">
        <v>273</v>
      </c>
      <c r="B211" s="2" t="s">
        <v>25</v>
      </c>
      <c r="C211" s="4">
        <v>45707</v>
      </c>
      <c r="D211" s="2" t="s">
        <v>44</v>
      </c>
      <c r="E211" s="2" t="s">
        <v>45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51</v>
      </c>
      <c r="M211" s="2" t="s">
        <v>18</v>
      </c>
      <c r="N211" s="37">
        <f t="shared" si="3"/>
        <v>0.48518407662376534</v>
      </c>
    </row>
    <row r="212" spans="1:14" ht="15.75" customHeight="1" x14ac:dyDescent="0.25">
      <c r="A212" s="2" t="s">
        <v>274</v>
      </c>
      <c r="B212" s="2" t="s">
        <v>14</v>
      </c>
      <c r="C212" s="4">
        <v>45491</v>
      </c>
      <c r="D212" s="2" t="s">
        <v>39</v>
      </c>
      <c r="E212" s="2" t="s">
        <v>42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51</v>
      </c>
      <c r="M212" s="2" t="s">
        <v>34</v>
      </c>
      <c r="N212" s="37">
        <f t="shared" si="3"/>
        <v>0.18632075471698112</v>
      </c>
    </row>
    <row r="213" spans="1:14" ht="15.75" customHeight="1" x14ac:dyDescent="0.25">
      <c r="A213" s="2" t="s">
        <v>275</v>
      </c>
      <c r="B213" s="2" t="s">
        <v>25</v>
      </c>
      <c r="C213" s="4">
        <v>45719</v>
      </c>
      <c r="D213" s="2" t="s">
        <v>59</v>
      </c>
      <c r="E213" s="2" t="s">
        <v>143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27</v>
      </c>
      <c r="M213" s="2" t="s">
        <v>23</v>
      </c>
      <c r="N213" s="37">
        <f t="shared" si="3"/>
        <v>0.123309241094476</v>
      </c>
    </row>
    <row r="214" spans="1:14" ht="15.75" customHeight="1" x14ac:dyDescent="0.25">
      <c r="A214" s="2" t="s">
        <v>276</v>
      </c>
      <c r="B214" s="2" t="s">
        <v>38</v>
      </c>
      <c r="C214" s="4">
        <v>45778</v>
      </c>
      <c r="D214" s="2" t="s">
        <v>39</v>
      </c>
      <c r="E214" s="2" t="s">
        <v>40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33</v>
      </c>
      <c r="M214" s="2" t="s">
        <v>34</v>
      </c>
      <c r="N214" s="37">
        <f t="shared" si="3"/>
        <v>8.21914819340199E-2</v>
      </c>
    </row>
    <row r="215" spans="1:14" ht="15.75" customHeight="1" x14ac:dyDescent="0.25">
      <c r="A215" s="2" t="s">
        <v>277</v>
      </c>
      <c r="B215" s="2" t="s">
        <v>30</v>
      </c>
      <c r="C215" s="4">
        <v>45649</v>
      </c>
      <c r="D215" s="2" t="s">
        <v>44</v>
      </c>
      <c r="E215" s="2" t="s">
        <v>140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51</v>
      </c>
      <c r="M215" s="2" t="s">
        <v>23</v>
      </c>
      <c r="N215" s="37">
        <f t="shared" si="3"/>
        <v>0.37955854126679461</v>
      </c>
    </row>
    <row r="216" spans="1:14" ht="15.75" customHeight="1" x14ac:dyDescent="0.25">
      <c r="A216" s="2" t="s">
        <v>278</v>
      </c>
      <c r="B216" s="2" t="s">
        <v>38</v>
      </c>
      <c r="C216" s="4">
        <v>45783</v>
      </c>
      <c r="D216" s="2" t="s">
        <v>44</v>
      </c>
      <c r="E216" s="2" t="s">
        <v>49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33</v>
      </c>
      <c r="M216" s="2" t="s">
        <v>23</v>
      </c>
      <c r="N216" s="37">
        <f t="shared" si="3"/>
        <v>7.2116777745580993E-2</v>
      </c>
    </row>
    <row r="217" spans="1:14" ht="15.75" customHeight="1" x14ac:dyDescent="0.25">
      <c r="A217" s="2" t="s">
        <v>279</v>
      </c>
      <c r="B217" s="2" t="s">
        <v>25</v>
      </c>
      <c r="C217" s="4">
        <v>45502</v>
      </c>
      <c r="D217" s="2" t="s">
        <v>31</v>
      </c>
      <c r="E217" s="2" t="s">
        <v>105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33</v>
      </c>
      <c r="M217" s="2" t="s">
        <v>23</v>
      </c>
      <c r="N217" s="37">
        <f t="shared" si="3"/>
        <v>5.8316766070245198E-2</v>
      </c>
    </row>
    <row r="218" spans="1:14" ht="15.75" customHeight="1" x14ac:dyDescent="0.25">
      <c r="A218" s="2" t="s">
        <v>280</v>
      </c>
      <c r="B218" s="2" t="s">
        <v>38</v>
      </c>
      <c r="C218" s="4">
        <v>45629</v>
      </c>
      <c r="D218" s="2" t="s">
        <v>44</v>
      </c>
      <c r="E218" s="2" t="s">
        <v>49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27</v>
      </c>
      <c r="N218" s="37">
        <f t="shared" si="3"/>
        <v>6.2603126356925748E-2</v>
      </c>
    </row>
    <row r="219" spans="1:14" ht="15.75" customHeight="1" x14ac:dyDescent="0.25">
      <c r="A219" s="2" t="s">
        <v>281</v>
      </c>
      <c r="B219" s="2" t="s">
        <v>38</v>
      </c>
      <c r="C219" s="4">
        <v>45454</v>
      </c>
      <c r="D219" s="2" t="s">
        <v>39</v>
      </c>
      <c r="E219" s="2" t="s">
        <v>40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27</v>
      </c>
      <c r="M219" s="2" t="s">
        <v>34</v>
      </c>
      <c r="N219" s="37">
        <f t="shared" si="3"/>
        <v>0.18806848582129482</v>
      </c>
    </row>
    <row r="220" spans="1:14" ht="15.75" customHeight="1" x14ac:dyDescent="0.25">
      <c r="A220" s="2" t="s">
        <v>282</v>
      </c>
      <c r="B220" s="2" t="s">
        <v>14</v>
      </c>
      <c r="C220" s="4">
        <v>45685</v>
      </c>
      <c r="D220" s="2" t="s">
        <v>15</v>
      </c>
      <c r="E220" s="2" t="s">
        <v>16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27</v>
      </c>
      <c r="M220" s="2" t="s">
        <v>34</v>
      </c>
      <c r="N220" s="37">
        <f t="shared" si="3"/>
        <v>0.25701459034792368</v>
      </c>
    </row>
    <row r="221" spans="1:14" ht="15.75" customHeight="1" x14ac:dyDescent="0.25">
      <c r="A221" s="2" t="s">
        <v>283</v>
      </c>
      <c r="B221" s="2" t="s">
        <v>30</v>
      </c>
      <c r="C221" s="4">
        <v>45445</v>
      </c>
      <c r="D221" s="2" t="s">
        <v>31</v>
      </c>
      <c r="E221" s="2" t="s">
        <v>32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33</v>
      </c>
      <c r="N221" s="37">
        <f t="shared" si="3"/>
        <v>1.8129251700680271</v>
      </c>
    </row>
    <row r="222" spans="1:14" ht="15.75" customHeight="1" x14ac:dyDescent="0.25">
      <c r="A222" s="2" t="s">
        <v>284</v>
      </c>
      <c r="B222" s="2" t="s">
        <v>38</v>
      </c>
      <c r="C222" s="4">
        <v>45739</v>
      </c>
      <c r="D222" s="2" t="s">
        <v>59</v>
      </c>
      <c r="E222" s="2" t="s">
        <v>60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27</v>
      </c>
      <c r="N222" s="37">
        <f t="shared" si="3"/>
        <v>0.15989220750056141</v>
      </c>
    </row>
    <row r="223" spans="1:14" ht="15.75" customHeight="1" x14ac:dyDescent="0.25">
      <c r="A223" s="2" t="s">
        <v>285</v>
      </c>
      <c r="B223" s="2" t="s">
        <v>38</v>
      </c>
      <c r="C223" s="4">
        <v>45573</v>
      </c>
      <c r="D223" s="2" t="s">
        <v>15</v>
      </c>
      <c r="E223" s="2" t="s">
        <v>53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286</v>
      </c>
      <c r="M223" s="2" t="s">
        <v>18</v>
      </c>
      <c r="N223" s="37">
        <f t="shared" si="3"/>
        <v>0.11143487163332809</v>
      </c>
    </row>
    <row r="224" spans="1:14" ht="15.75" customHeight="1" x14ac:dyDescent="0.25">
      <c r="A224" s="2" t="s">
        <v>287</v>
      </c>
      <c r="B224" s="2" t="s">
        <v>14</v>
      </c>
      <c r="C224" s="4">
        <v>45608</v>
      </c>
      <c r="D224" s="2" t="s">
        <v>44</v>
      </c>
      <c r="E224" s="2" t="s">
        <v>92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27</v>
      </c>
      <c r="N224" s="37">
        <f t="shared" si="3"/>
        <v>6.2129685107516146E-2</v>
      </c>
    </row>
    <row r="225" spans="1:14" ht="15.75" customHeight="1" x14ac:dyDescent="0.25">
      <c r="A225" s="2" t="s">
        <v>288</v>
      </c>
      <c r="B225" s="2" t="s">
        <v>38</v>
      </c>
      <c r="C225" s="4">
        <v>45790</v>
      </c>
      <c r="D225" s="2" t="s">
        <v>44</v>
      </c>
      <c r="E225" s="2" t="s">
        <v>49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27</v>
      </c>
      <c r="M225" s="2" t="s">
        <v>28</v>
      </c>
      <c r="N225" s="37">
        <f t="shared" si="3"/>
        <v>0.32083531086853345</v>
      </c>
    </row>
    <row r="226" spans="1:14" ht="15.75" customHeight="1" x14ac:dyDescent="0.25">
      <c r="A226" s="2" t="s">
        <v>289</v>
      </c>
      <c r="B226" s="2" t="s">
        <v>14</v>
      </c>
      <c r="C226" s="4">
        <v>45463</v>
      </c>
      <c r="D226" s="2" t="s">
        <v>39</v>
      </c>
      <c r="E226" s="2" t="s">
        <v>42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33</v>
      </c>
      <c r="N226" s="37">
        <f t="shared" si="3"/>
        <v>5.6653298485940883E-2</v>
      </c>
    </row>
    <row r="227" spans="1:14" ht="15.75" customHeight="1" x14ac:dyDescent="0.25">
      <c r="A227" s="2" t="s">
        <v>290</v>
      </c>
      <c r="B227" s="2" t="s">
        <v>30</v>
      </c>
      <c r="C227" s="4">
        <v>45511</v>
      </c>
      <c r="D227" s="2" t="s">
        <v>39</v>
      </c>
      <c r="E227" s="2" t="s">
        <v>68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27</v>
      </c>
      <c r="N227" s="37">
        <f t="shared" si="3"/>
        <v>0.25537047673750718</v>
      </c>
    </row>
    <row r="228" spans="1:14" ht="15.75" customHeight="1" x14ac:dyDescent="0.25">
      <c r="A228" s="2" t="s">
        <v>291</v>
      </c>
      <c r="B228" s="2" t="s">
        <v>30</v>
      </c>
      <c r="C228" s="4">
        <v>45455</v>
      </c>
      <c r="D228" s="2" t="s">
        <v>20</v>
      </c>
      <c r="E228" s="2" t="s">
        <v>82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51</v>
      </c>
      <c r="M228" s="2" t="s">
        <v>28</v>
      </c>
      <c r="N228" s="37">
        <f t="shared" si="3"/>
        <v>0.11232349165596919</v>
      </c>
    </row>
    <row r="229" spans="1:14" ht="15.75" customHeight="1" x14ac:dyDescent="0.25">
      <c r="A229" s="2" t="s">
        <v>292</v>
      </c>
      <c r="B229" s="2" t="s">
        <v>30</v>
      </c>
      <c r="C229" s="4">
        <v>45474</v>
      </c>
      <c r="D229" s="2" t="s">
        <v>31</v>
      </c>
      <c r="E229" s="2" t="s">
        <v>32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33</v>
      </c>
      <c r="M229" s="2" t="s">
        <v>18</v>
      </c>
      <c r="N229" s="37">
        <f t="shared" si="3"/>
        <v>8.1808097615085965E-2</v>
      </c>
    </row>
    <row r="230" spans="1:14" ht="15.75" customHeight="1" x14ac:dyDescent="0.25">
      <c r="A230" s="2" t="s">
        <v>293</v>
      </c>
      <c r="B230" s="2" t="s">
        <v>30</v>
      </c>
      <c r="C230" s="4">
        <v>45476</v>
      </c>
      <c r="D230" s="2" t="s">
        <v>39</v>
      </c>
      <c r="E230" s="2" t="s">
        <v>68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27</v>
      </c>
      <c r="N230" s="37">
        <f t="shared" si="3"/>
        <v>0.13387048227640017</v>
      </c>
    </row>
    <row r="231" spans="1:14" ht="15.75" customHeight="1" x14ac:dyDescent="0.25">
      <c r="A231" s="2" t="s">
        <v>294</v>
      </c>
      <c r="B231" s="2" t="s">
        <v>38</v>
      </c>
      <c r="C231" s="4">
        <v>45488</v>
      </c>
      <c r="D231" s="2" t="s">
        <v>15</v>
      </c>
      <c r="E231" s="2" t="s">
        <v>53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33</v>
      </c>
      <c r="M231" s="2" t="s">
        <v>28</v>
      </c>
      <c r="N231" s="37">
        <f t="shared" si="3"/>
        <v>7.7512577512577507E-2</v>
      </c>
    </row>
    <row r="232" spans="1:14" ht="15.75" customHeight="1" x14ac:dyDescent="0.25">
      <c r="A232" s="2" t="s">
        <v>295</v>
      </c>
      <c r="B232" s="2" t="s">
        <v>30</v>
      </c>
      <c r="C232" s="4">
        <v>45778</v>
      </c>
      <c r="D232" s="2" t="s">
        <v>20</v>
      </c>
      <c r="E232" s="2" t="s">
        <v>82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51</v>
      </c>
      <c r="M232" s="2" t="s">
        <v>18</v>
      </c>
      <c r="N232" s="37">
        <f t="shared" si="3"/>
        <v>8.5734265734265735E-2</v>
      </c>
    </row>
    <row r="233" spans="1:14" ht="15.75" customHeight="1" x14ac:dyDescent="0.25">
      <c r="A233" s="2" t="s">
        <v>296</v>
      </c>
      <c r="B233" s="2" t="s">
        <v>14</v>
      </c>
      <c r="C233" s="4">
        <v>45776</v>
      </c>
      <c r="D233" s="2" t="s">
        <v>31</v>
      </c>
      <c r="E233" s="2" t="s">
        <v>102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33</v>
      </c>
      <c r="M233" s="2" t="s">
        <v>34</v>
      </c>
      <c r="N233" s="37">
        <f t="shared" si="3"/>
        <v>0.7168674698795181</v>
      </c>
    </row>
    <row r="234" spans="1:14" ht="15.75" customHeight="1" x14ac:dyDescent="0.25">
      <c r="A234" s="2" t="s">
        <v>297</v>
      </c>
      <c r="B234" s="2" t="s">
        <v>38</v>
      </c>
      <c r="C234" s="4">
        <v>45724</v>
      </c>
      <c r="D234" s="2" t="s">
        <v>44</v>
      </c>
      <c r="E234" s="2" t="s">
        <v>49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51</v>
      </c>
      <c r="M234" s="2" t="s">
        <v>34</v>
      </c>
      <c r="N234" s="37">
        <f t="shared" si="3"/>
        <v>7.2969143576826198E-2</v>
      </c>
    </row>
    <row r="235" spans="1:14" ht="15.75" customHeight="1" x14ac:dyDescent="0.25">
      <c r="A235" s="2" t="s">
        <v>298</v>
      </c>
      <c r="B235" s="2" t="s">
        <v>38</v>
      </c>
      <c r="C235" s="4">
        <v>45444</v>
      </c>
      <c r="D235" s="2" t="s">
        <v>20</v>
      </c>
      <c r="E235" s="2" t="s">
        <v>47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27</v>
      </c>
      <c r="N235" s="37">
        <f t="shared" si="3"/>
        <v>7.5968222442899705E-2</v>
      </c>
    </row>
    <row r="236" spans="1:14" ht="15.75" customHeight="1" x14ac:dyDescent="0.25">
      <c r="A236" s="2" t="s">
        <v>299</v>
      </c>
      <c r="B236" s="2" t="s">
        <v>38</v>
      </c>
      <c r="C236" s="4">
        <v>45648</v>
      </c>
      <c r="D236" s="2" t="s">
        <v>44</v>
      </c>
      <c r="E236" s="2" t="s">
        <v>49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27</v>
      </c>
      <c r="M236" s="2" t="s">
        <v>28</v>
      </c>
      <c r="N236" s="37">
        <f t="shared" si="3"/>
        <v>0.1283706906360223</v>
      </c>
    </row>
    <row r="237" spans="1:14" ht="15.75" customHeight="1" x14ac:dyDescent="0.25">
      <c r="A237" s="2" t="s">
        <v>300</v>
      </c>
      <c r="B237" s="2" t="s">
        <v>38</v>
      </c>
      <c r="C237" s="4">
        <v>45523</v>
      </c>
      <c r="D237" s="2" t="s">
        <v>20</v>
      </c>
      <c r="E237" s="2" t="s">
        <v>47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301</v>
      </c>
      <c r="M237" s="2" t="s">
        <v>23</v>
      </c>
      <c r="N237" s="37">
        <f t="shared" si="3"/>
        <v>0.12943516308671441</v>
      </c>
    </row>
    <row r="238" spans="1:14" ht="15.75" customHeight="1" x14ac:dyDescent="0.25">
      <c r="A238" s="2" t="s">
        <v>302</v>
      </c>
      <c r="B238" s="2" t="s">
        <v>30</v>
      </c>
      <c r="C238" s="4">
        <v>45587</v>
      </c>
      <c r="D238" s="2" t="s">
        <v>31</v>
      </c>
      <c r="E238" s="2" t="s">
        <v>32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51</v>
      </c>
      <c r="M238" s="2" t="s">
        <v>18</v>
      </c>
      <c r="N238" s="37">
        <f t="shared" si="3"/>
        <v>6.7234398994834563E-2</v>
      </c>
    </row>
    <row r="239" spans="1:14" ht="15.75" customHeight="1" x14ac:dyDescent="0.25">
      <c r="A239" s="2" t="s">
        <v>303</v>
      </c>
      <c r="B239" s="2" t="s">
        <v>14</v>
      </c>
      <c r="C239" s="4">
        <v>45489</v>
      </c>
      <c r="D239" s="2" t="s">
        <v>20</v>
      </c>
      <c r="E239" s="2" t="s">
        <v>21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51</v>
      </c>
      <c r="M239" s="2" t="s">
        <v>34</v>
      </c>
      <c r="N239" s="37">
        <f t="shared" si="3"/>
        <v>7.2579365079365077E-2</v>
      </c>
    </row>
    <row r="240" spans="1:14" ht="15.75" customHeight="1" x14ac:dyDescent="0.25">
      <c r="A240" s="2" t="s">
        <v>304</v>
      </c>
      <c r="B240" s="2" t="s">
        <v>25</v>
      </c>
      <c r="C240" s="4">
        <v>45712</v>
      </c>
      <c r="D240" s="2" t="s">
        <v>20</v>
      </c>
      <c r="E240" s="2" t="s">
        <v>77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51</v>
      </c>
      <c r="N240" s="37">
        <f t="shared" si="3"/>
        <v>0.25062082139446035</v>
      </c>
    </row>
    <row r="241" spans="1:14" ht="15.75" customHeight="1" x14ac:dyDescent="0.25">
      <c r="A241" s="2" t="s">
        <v>305</v>
      </c>
      <c r="B241" s="2" t="s">
        <v>14</v>
      </c>
      <c r="C241" s="4">
        <v>45530</v>
      </c>
      <c r="D241" s="2" t="s">
        <v>39</v>
      </c>
      <c r="E241" s="2" t="s">
        <v>42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117</v>
      </c>
      <c r="M241" s="2" t="s">
        <v>28</v>
      </c>
      <c r="N241" s="37">
        <f t="shared" si="3"/>
        <v>8.6293505561535699E-2</v>
      </c>
    </row>
    <row r="242" spans="1:14" ht="15.75" customHeight="1" x14ac:dyDescent="0.25">
      <c r="A242" s="2" t="s">
        <v>306</v>
      </c>
      <c r="B242" s="2" t="s">
        <v>38</v>
      </c>
      <c r="C242" s="4">
        <v>45675</v>
      </c>
      <c r="D242" s="2" t="s">
        <v>31</v>
      </c>
      <c r="E242" s="2" t="s">
        <v>57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27</v>
      </c>
      <c r="M242" s="2" t="s">
        <v>34</v>
      </c>
      <c r="N242" s="37">
        <f t="shared" si="3"/>
        <v>0.17743908486792079</v>
      </c>
    </row>
    <row r="243" spans="1:14" ht="15.75" customHeight="1" x14ac:dyDescent="0.25">
      <c r="A243" s="2" t="s">
        <v>307</v>
      </c>
      <c r="B243" s="2" t="s">
        <v>38</v>
      </c>
      <c r="C243" s="4">
        <v>45480</v>
      </c>
      <c r="D243" s="2" t="s">
        <v>15</v>
      </c>
      <c r="E243" s="2" t="s">
        <v>53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33</v>
      </c>
      <c r="M243" s="2" t="s">
        <v>28</v>
      </c>
      <c r="N243" s="37">
        <f t="shared" si="3"/>
        <v>0.18519683938186141</v>
      </c>
    </row>
    <row r="244" spans="1:14" ht="15.75" customHeight="1" x14ac:dyDescent="0.25">
      <c r="A244" s="2" t="s">
        <v>308</v>
      </c>
      <c r="B244" s="2" t="s">
        <v>14</v>
      </c>
      <c r="C244" s="4">
        <v>45722</v>
      </c>
      <c r="D244" s="2" t="s">
        <v>44</v>
      </c>
      <c r="E244" s="2" t="s">
        <v>92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51</v>
      </c>
      <c r="M244" s="2" t="s">
        <v>34</v>
      </c>
      <c r="N244" s="37">
        <f t="shared" si="3"/>
        <v>9.7001272669424113E-2</v>
      </c>
    </row>
    <row r="245" spans="1:14" ht="15.75" customHeight="1" x14ac:dyDescent="0.25">
      <c r="A245" s="2" t="s">
        <v>309</v>
      </c>
      <c r="B245" s="2" t="s">
        <v>25</v>
      </c>
      <c r="C245" s="4">
        <v>45590</v>
      </c>
      <c r="D245" s="2" t="s">
        <v>59</v>
      </c>
      <c r="E245" s="2" t="s">
        <v>143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51</v>
      </c>
      <c r="M245" s="2" t="s">
        <v>28</v>
      </c>
      <c r="N245" s="37">
        <f t="shared" si="3"/>
        <v>0.25869984981763572</v>
      </c>
    </row>
    <row r="246" spans="1:14" ht="15.75" customHeight="1" x14ac:dyDescent="0.25">
      <c r="A246" s="2" t="s">
        <v>310</v>
      </c>
      <c r="B246" s="2" t="s">
        <v>38</v>
      </c>
      <c r="C246" s="4">
        <v>45669</v>
      </c>
      <c r="D246" s="2" t="s">
        <v>15</v>
      </c>
      <c r="E246" s="2" t="s">
        <v>53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33</v>
      </c>
      <c r="M246" s="2" t="s">
        <v>18</v>
      </c>
      <c r="N246" s="37">
        <f t="shared" si="3"/>
        <v>0.12232704402515723</v>
      </c>
    </row>
    <row r="247" spans="1:14" ht="15.75" customHeight="1" x14ac:dyDescent="0.25">
      <c r="A247" s="2" t="s">
        <v>311</v>
      </c>
      <c r="B247" s="2" t="s">
        <v>38</v>
      </c>
      <c r="C247" s="4">
        <v>45576</v>
      </c>
      <c r="D247" s="2" t="s">
        <v>44</v>
      </c>
      <c r="E247" s="2" t="s">
        <v>49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51</v>
      </c>
      <c r="M247" s="2" t="s">
        <v>23</v>
      </c>
      <c r="N247" s="37">
        <f t="shared" si="3"/>
        <v>0.23656250000000001</v>
      </c>
    </row>
    <row r="248" spans="1:14" ht="15.75" customHeight="1" x14ac:dyDescent="0.25">
      <c r="A248" s="2" t="s">
        <v>312</v>
      </c>
      <c r="B248" s="2" t="s">
        <v>38</v>
      </c>
      <c r="C248" s="4">
        <v>45531</v>
      </c>
      <c r="D248" s="2" t="s">
        <v>15</v>
      </c>
      <c r="E248" s="2" t="s">
        <v>53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313</v>
      </c>
      <c r="N248" s="37">
        <f t="shared" si="3"/>
        <v>0.11879910213243547</v>
      </c>
    </row>
    <row r="249" spans="1:14" ht="15.75" customHeight="1" x14ac:dyDescent="0.25">
      <c r="A249" s="2" t="s">
        <v>314</v>
      </c>
      <c r="B249" s="2" t="s">
        <v>38</v>
      </c>
      <c r="C249" s="4">
        <v>45690</v>
      </c>
      <c r="D249" s="2" t="s">
        <v>31</v>
      </c>
      <c r="E249" s="2" t="s">
        <v>57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33</v>
      </c>
      <c r="N249" s="37">
        <f t="shared" si="3"/>
        <v>0.26297968397291194</v>
      </c>
    </row>
    <row r="250" spans="1:14" ht="15.75" customHeight="1" x14ac:dyDescent="0.25">
      <c r="A250" s="2" t="s">
        <v>315</v>
      </c>
      <c r="B250" s="2" t="s">
        <v>14</v>
      </c>
      <c r="C250" s="4">
        <v>45491</v>
      </c>
      <c r="D250" s="2" t="s">
        <v>44</v>
      </c>
      <c r="E250" s="2" t="s">
        <v>92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33</v>
      </c>
      <c r="M250" s="2" t="s">
        <v>23</v>
      </c>
      <c r="N250" s="37">
        <f t="shared" si="3"/>
        <v>8.7733440816874911E-2</v>
      </c>
    </row>
    <row r="251" spans="1:14" ht="15.75" customHeight="1" x14ac:dyDescent="0.25">
      <c r="A251" s="2" t="s">
        <v>316</v>
      </c>
      <c r="B251" s="2" t="s">
        <v>38</v>
      </c>
      <c r="C251" s="4">
        <v>45465</v>
      </c>
      <c r="D251" s="2" t="s">
        <v>15</v>
      </c>
      <c r="E251" s="2" t="s">
        <v>53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51</v>
      </c>
      <c r="N251" s="37">
        <f t="shared" si="3"/>
        <v>7.3170731707317069E-2</v>
      </c>
    </row>
    <row r="252" spans="1:14" ht="15.75" customHeight="1" x14ac:dyDescent="0.25">
      <c r="A252" s="2" t="s">
        <v>317</v>
      </c>
      <c r="B252" s="2" t="s">
        <v>30</v>
      </c>
      <c r="C252" s="4">
        <v>45743</v>
      </c>
      <c r="D252" s="2" t="s">
        <v>39</v>
      </c>
      <c r="E252" s="2" t="s">
        <v>68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51</v>
      </c>
      <c r="N252" s="37">
        <f t="shared" si="3"/>
        <v>0.11619462599854757</v>
      </c>
    </row>
    <row r="253" spans="1:14" ht="15.75" customHeight="1" x14ac:dyDescent="0.25">
      <c r="A253" s="2" t="s">
        <v>318</v>
      </c>
      <c r="B253" s="2" t="s">
        <v>38</v>
      </c>
      <c r="C253" s="4">
        <v>45775</v>
      </c>
      <c r="D253" s="2" t="s">
        <v>39</v>
      </c>
      <c r="E253" s="2" t="s">
        <v>40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51</v>
      </c>
      <c r="M253" s="2" t="s">
        <v>28</v>
      </c>
      <c r="N253" s="37">
        <f t="shared" si="3"/>
        <v>0.15761129727142173</v>
      </c>
    </row>
    <row r="254" spans="1:14" ht="15.75" customHeight="1" x14ac:dyDescent="0.25">
      <c r="A254" s="2" t="s">
        <v>319</v>
      </c>
      <c r="B254" s="2" t="s">
        <v>14</v>
      </c>
      <c r="C254" s="4">
        <v>45507</v>
      </c>
      <c r="D254" s="2" t="s">
        <v>15</v>
      </c>
      <c r="E254" s="2" t="s">
        <v>16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33</v>
      </c>
      <c r="N254" s="37">
        <f t="shared" si="3"/>
        <v>8.6897539284772202E-2</v>
      </c>
    </row>
    <row r="255" spans="1:14" ht="15.75" customHeight="1" x14ac:dyDescent="0.25">
      <c r="A255" s="2" t="s">
        <v>320</v>
      </c>
      <c r="B255" s="2" t="s">
        <v>14</v>
      </c>
      <c r="C255" s="4">
        <v>45671</v>
      </c>
      <c r="D255" s="2" t="s">
        <v>44</v>
      </c>
      <c r="E255" s="2" t="s">
        <v>92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51</v>
      </c>
      <c r="M255" s="2" t="s">
        <v>23</v>
      </c>
      <c r="N255" s="37">
        <f t="shared" si="3"/>
        <v>0.13331166419019316</v>
      </c>
    </row>
    <row r="256" spans="1:14" ht="15.75" customHeight="1" x14ac:dyDescent="0.25">
      <c r="A256" s="2" t="s">
        <v>321</v>
      </c>
      <c r="B256" s="2" t="s">
        <v>38</v>
      </c>
      <c r="C256" s="4">
        <v>45750</v>
      </c>
      <c r="D256" s="2" t="s">
        <v>31</v>
      </c>
      <c r="E256" s="2" t="s">
        <v>57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51</v>
      </c>
      <c r="M256" s="2" t="s">
        <v>34</v>
      </c>
      <c r="N256" s="37">
        <f t="shared" si="3"/>
        <v>0.11996283514733209</v>
      </c>
    </row>
    <row r="257" spans="1:14" ht="15.75" customHeight="1" x14ac:dyDescent="0.25">
      <c r="A257" s="2" t="s">
        <v>322</v>
      </c>
      <c r="B257" s="2" t="s">
        <v>25</v>
      </c>
      <c r="C257" s="4">
        <v>45553</v>
      </c>
      <c r="D257" s="2" t="s">
        <v>39</v>
      </c>
      <c r="E257" s="2" t="s">
        <v>55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33</v>
      </c>
      <c r="M257" s="2" t="s">
        <v>23</v>
      </c>
      <c r="N257" s="37">
        <f t="shared" si="3"/>
        <v>5.7936488444630008E-2</v>
      </c>
    </row>
    <row r="258" spans="1:14" ht="15.75" customHeight="1" x14ac:dyDescent="0.25">
      <c r="A258" s="2" t="s">
        <v>323</v>
      </c>
      <c r="B258" s="2" t="s">
        <v>38</v>
      </c>
      <c r="C258" s="4">
        <v>45753</v>
      </c>
      <c r="D258" s="2" t="s">
        <v>44</v>
      </c>
      <c r="E258" s="2" t="s">
        <v>49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324</v>
      </c>
      <c r="M258" s="2" t="s">
        <v>23</v>
      </c>
      <c r="N258" s="37">
        <f t="shared" si="3"/>
        <v>7.9915048543689318E-2</v>
      </c>
    </row>
    <row r="259" spans="1:14" ht="15.75" customHeight="1" x14ac:dyDescent="0.25">
      <c r="A259" s="2" t="s">
        <v>325</v>
      </c>
      <c r="B259" s="2" t="s">
        <v>30</v>
      </c>
      <c r="C259" s="4">
        <v>45509</v>
      </c>
      <c r="D259" s="2" t="s">
        <v>31</v>
      </c>
      <c r="E259" s="2" t="s">
        <v>32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33</v>
      </c>
      <c r="M259" s="2" t="s">
        <v>23</v>
      </c>
      <c r="N259" s="37">
        <f t="shared" ref="N259:N301" si="4">(F259+G259+H259)/I259</f>
        <v>0.2023049153013052</v>
      </c>
    </row>
    <row r="260" spans="1:14" ht="15.75" customHeight="1" x14ac:dyDescent="0.25">
      <c r="A260" s="2" t="s">
        <v>326</v>
      </c>
      <c r="B260" s="2" t="s">
        <v>38</v>
      </c>
      <c r="C260" s="4">
        <v>45698</v>
      </c>
      <c r="D260" s="2" t="s">
        <v>20</v>
      </c>
      <c r="E260" s="2" t="s">
        <v>47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27</v>
      </c>
      <c r="M260" s="2" t="s">
        <v>18</v>
      </c>
      <c r="N260" s="37">
        <f t="shared" si="4"/>
        <v>0.25771055753262156</v>
      </c>
    </row>
    <row r="261" spans="1:14" ht="15.75" customHeight="1" x14ac:dyDescent="0.25">
      <c r="A261" s="2" t="s">
        <v>327</v>
      </c>
      <c r="B261" s="2" t="s">
        <v>30</v>
      </c>
      <c r="C261" s="4">
        <v>45700</v>
      </c>
      <c r="D261" s="2" t="s">
        <v>31</v>
      </c>
      <c r="E261" s="2" t="s">
        <v>32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328</v>
      </c>
      <c r="M261" s="2" t="s">
        <v>28</v>
      </c>
      <c r="N261" s="37">
        <f t="shared" si="4"/>
        <v>8.7752275425405618E-2</v>
      </c>
    </row>
    <row r="262" spans="1:14" ht="15.75" customHeight="1" x14ac:dyDescent="0.25">
      <c r="A262" s="2" t="s">
        <v>329</v>
      </c>
      <c r="B262" s="2" t="s">
        <v>30</v>
      </c>
      <c r="C262" s="4">
        <v>45592</v>
      </c>
      <c r="D262" s="2" t="s">
        <v>44</v>
      </c>
      <c r="E262" s="2" t="s">
        <v>140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33</v>
      </c>
      <c r="M262" s="2" t="s">
        <v>18</v>
      </c>
      <c r="N262" s="37">
        <f t="shared" si="4"/>
        <v>8.2835359571399134E-2</v>
      </c>
    </row>
    <row r="263" spans="1:14" ht="15.75" customHeight="1" x14ac:dyDescent="0.25">
      <c r="A263" s="2" t="s">
        <v>330</v>
      </c>
      <c r="B263" s="2" t="s">
        <v>25</v>
      </c>
      <c r="C263" s="4">
        <v>45675</v>
      </c>
      <c r="D263" s="2" t="s">
        <v>44</v>
      </c>
      <c r="E263" s="2" t="s">
        <v>45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27</v>
      </c>
      <c r="N263" s="37">
        <f t="shared" si="4"/>
        <v>0.15339966832504145</v>
      </c>
    </row>
    <row r="264" spans="1:14" ht="15.75" customHeight="1" x14ac:dyDescent="0.25">
      <c r="A264" s="2" t="s">
        <v>331</v>
      </c>
      <c r="B264" s="2" t="s">
        <v>30</v>
      </c>
      <c r="C264" s="4">
        <v>45524</v>
      </c>
      <c r="D264" s="2" t="s">
        <v>15</v>
      </c>
      <c r="E264" s="2" t="s">
        <v>64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51</v>
      </c>
      <c r="M264" s="2" t="s">
        <v>23</v>
      </c>
      <c r="N264" s="37">
        <f t="shared" si="4"/>
        <v>0.26876680752977333</v>
      </c>
    </row>
    <row r="265" spans="1:14" ht="15.75" customHeight="1" x14ac:dyDescent="0.25">
      <c r="A265" s="2" t="s">
        <v>332</v>
      </c>
      <c r="B265" s="2" t="s">
        <v>14</v>
      </c>
      <c r="C265" s="4">
        <v>45687</v>
      </c>
      <c r="D265" s="2" t="s">
        <v>44</v>
      </c>
      <c r="E265" s="2" t="s">
        <v>92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27</v>
      </c>
      <c r="M265" s="2" t="s">
        <v>23</v>
      </c>
      <c r="N265" s="37">
        <f t="shared" si="4"/>
        <v>0.53389830508474578</v>
      </c>
    </row>
    <row r="266" spans="1:14" ht="15.75" customHeight="1" x14ac:dyDescent="0.25">
      <c r="A266" s="2" t="s">
        <v>333</v>
      </c>
      <c r="B266" s="2" t="s">
        <v>14</v>
      </c>
      <c r="C266" s="4">
        <v>45708</v>
      </c>
      <c r="D266" s="2" t="s">
        <v>39</v>
      </c>
      <c r="E266" s="2" t="s">
        <v>42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33</v>
      </c>
      <c r="M266" s="2" t="s">
        <v>34</v>
      </c>
      <c r="N266" s="37">
        <f t="shared" si="4"/>
        <v>0.25279701651571657</v>
      </c>
    </row>
    <row r="267" spans="1:14" ht="15.75" customHeight="1" x14ac:dyDescent="0.25">
      <c r="A267" s="2" t="s">
        <v>334</v>
      </c>
      <c r="B267" s="2" t="s">
        <v>38</v>
      </c>
      <c r="C267" s="4">
        <v>45621</v>
      </c>
      <c r="D267" s="2" t="s">
        <v>31</v>
      </c>
      <c r="E267" s="2" t="s">
        <v>57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27</v>
      </c>
      <c r="M267" s="2" t="s">
        <v>28</v>
      </c>
      <c r="N267" s="37">
        <f t="shared" si="4"/>
        <v>0.10086880280567512</v>
      </c>
    </row>
    <row r="268" spans="1:14" ht="15.75" customHeight="1" x14ac:dyDescent="0.25">
      <c r="A268" s="2" t="s">
        <v>335</v>
      </c>
      <c r="B268" s="2" t="s">
        <v>14</v>
      </c>
      <c r="C268" s="4">
        <v>45569</v>
      </c>
      <c r="D268" s="2" t="s">
        <v>15</v>
      </c>
      <c r="E268" s="2" t="s">
        <v>16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51</v>
      </c>
      <c r="N268" s="37">
        <f t="shared" si="4"/>
        <v>6.3947934081681396E-2</v>
      </c>
    </row>
    <row r="269" spans="1:14" ht="15.75" customHeight="1" x14ac:dyDescent="0.25">
      <c r="A269" s="2" t="s">
        <v>336</v>
      </c>
      <c r="B269" s="2" t="s">
        <v>30</v>
      </c>
      <c r="C269" s="4">
        <v>45760</v>
      </c>
      <c r="D269" s="2" t="s">
        <v>15</v>
      </c>
      <c r="E269" s="2" t="s">
        <v>64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33</v>
      </c>
      <c r="M269" s="2" t="s">
        <v>18</v>
      </c>
      <c r="N269" s="37">
        <f t="shared" si="4"/>
        <v>8.4062694239588759E-2</v>
      </c>
    </row>
    <row r="270" spans="1:14" ht="15.75" customHeight="1" x14ac:dyDescent="0.25">
      <c r="A270" s="2" t="s">
        <v>337</v>
      </c>
      <c r="B270" s="2" t="s">
        <v>30</v>
      </c>
      <c r="C270" s="4">
        <v>45601</v>
      </c>
      <c r="D270" s="2" t="s">
        <v>59</v>
      </c>
      <c r="E270" s="2" t="s">
        <v>66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27</v>
      </c>
      <c r="M270" s="2" t="s">
        <v>23</v>
      </c>
      <c r="N270" s="37">
        <f t="shared" si="4"/>
        <v>0.22157421618066214</v>
      </c>
    </row>
    <row r="271" spans="1:14" ht="15.75" customHeight="1" x14ac:dyDescent="0.25">
      <c r="A271" s="2" t="s">
        <v>338</v>
      </c>
      <c r="B271" s="2" t="s">
        <v>25</v>
      </c>
      <c r="C271" s="4">
        <v>45672</v>
      </c>
      <c r="D271" s="2" t="s">
        <v>15</v>
      </c>
      <c r="E271" s="2" t="s">
        <v>26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27</v>
      </c>
      <c r="M271" s="2" t="s">
        <v>28</v>
      </c>
      <c r="N271" s="37">
        <f t="shared" si="4"/>
        <v>6.7103868574456813E-2</v>
      </c>
    </row>
    <row r="272" spans="1:14" ht="15.75" customHeight="1" x14ac:dyDescent="0.25">
      <c r="A272" s="2" t="s">
        <v>339</v>
      </c>
      <c r="B272" s="2" t="s">
        <v>30</v>
      </c>
      <c r="C272" s="4">
        <v>45582</v>
      </c>
      <c r="D272" s="2" t="s">
        <v>59</v>
      </c>
      <c r="E272" s="2" t="s">
        <v>66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33</v>
      </c>
      <c r="M272" s="2" t="s">
        <v>23</v>
      </c>
      <c r="N272" s="37">
        <f t="shared" si="4"/>
        <v>0.20675990675990677</v>
      </c>
    </row>
    <row r="273" spans="1:14" ht="15.75" customHeight="1" x14ac:dyDescent="0.25">
      <c r="A273" s="2" t="s">
        <v>340</v>
      </c>
      <c r="B273" s="2" t="s">
        <v>30</v>
      </c>
      <c r="C273" s="4">
        <v>45743</v>
      </c>
      <c r="D273" s="2" t="s">
        <v>20</v>
      </c>
      <c r="E273" s="2" t="s">
        <v>82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27</v>
      </c>
      <c r="M273" s="2" t="s">
        <v>28</v>
      </c>
      <c r="N273" s="37">
        <f t="shared" si="4"/>
        <v>0.14220299534507186</v>
      </c>
    </row>
    <row r="274" spans="1:14" ht="15.75" customHeight="1" x14ac:dyDescent="0.25">
      <c r="A274" s="2" t="s">
        <v>341</v>
      </c>
      <c r="B274" s="2" t="s">
        <v>25</v>
      </c>
      <c r="C274" s="4">
        <v>45577</v>
      </c>
      <c r="D274" s="2" t="s">
        <v>31</v>
      </c>
      <c r="E274" s="2" t="s">
        <v>105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33</v>
      </c>
      <c r="M274" s="2" t="s">
        <v>34</v>
      </c>
      <c r="N274" s="37">
        <f t="shared" si="4"/>
        <v>9.7700431949264685E-2</v>
      </c>
    </row>
    <row r="275" spans="1:14" ht="15.75" customHeight="1" x14ac:dyDescent="0.25">
      <c r="A275" s="2" t="s">
        <v>342</v>
      </c>
      <c r="B275" s="2" t="s">
        <v>14</v>
      </c>
      <c r="C275" s="4">
        <v>45658</v>
      </c>
      <c r="D275" s="2" t="s">
        <v>39</v>
      </c>
      <c r="E275" s="2" t="s">
        <v>42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27</v>
      </c>
      <c r="M275" s="2" t="s">
        <v>34</v>
      </c>
      <c r="N275" s="37">
        <f t="shared" si="4"/>
        <v>7.8849599245638849E-2</v>
      </c>
    </row>
    <row r="276" spans="1:14" ht="15.75" customHeight="1" x14ac:dyDescent="0.25">
      <c r="A276" s="2" t="s">
        <v>343</v>
      </c>
      <c r="B276" s="2" t="s">
        <v>38</v>
      </c>
      <c r="C276" s="4">
        <v>45509</v>
      </c>
      <c r="D276" s="2" t="s">
        <v>15</v>
      </c>
      <c r="E276" s="2" t="s">
        <v>53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33</v>
      </c>
      <c r="M276" s="2" t="s">
        <v>28</v>
      </c>
      <c r="N276" s="37">
        <f t="shared" si="4"/>
        <v>0.16754738655944859</v>
      </c>
    </row>
    <row r="277" spans="1:14" ht="15.75" customHeight="1" x14ac:dyDescent="0.25">
      <c r="A277" s="2" t="s">
        <v>344</v>
      </c>
      <c r="B277" s="2" t="s">
        <v>14</v>
      </c>
      <c r="C277" s="4">
        <v>45450</v>
      </c>
      <c r="D277" s="2" t="s">
        <v>39</v>
      </c>
      <c r="E277" s="2" t="s">
        <v>42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27</v>
      </c>
      <c r="M277" s="2" t="s">
        <v>23</v>
      </c>
      <c r="N277" s="37">
        <f t="shared" si="4"/>
        <v>0.2015852613538989</v>
      </c>
    </row>
    <row r="278" spans="1:14" ht="15.75" customHeight="1" x14ac:dyDescent="0.25">
      <c r="A278" s="2" t="s">
        <v>345</v>
      </c>
      <c r="B278" s="2" t="s">
        <v>38</v>
      </c>
      <c r="C278" s="4">
        <v>45753</v>
      </c>
      <c r="D278" s="2" t="s">
        <v>44</v>
      </c>
      <c r="E278" s="2" t="s">
        <v>49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51</v>
      </c>
      <c r="M278" s="2" t="s">
        <v>18</v>
      </c>
      <c r="N278" s="37">
        <f t="shared" si="4"/>
        <v>0.24763928234183191</v>
      </c>
    </row>
    <row r="279" spans="1:14" ht="15.75" customHeight="1" x14ac:dyDescent="0.25">
      <c r="A279" s="2" t="s">
        <v>346</v>
      </c>
      <c r="B279" s="2" t="s">
        <v>14</v>
      </c>
      <c r="C279" s="4">
        <v>45622</v>
      </c>
      <c r="D279" s="2" t="s">
        <v>20</v>
      </c>
      <c r="E279" s="2" t="s">
        <v>21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33</v>
      </c>
      <c r="M279" s="2" t="s">
        <v>34</v>
      </c>
      <c r="N279" s="37">
        <f t="shared" si="4"/>
        <v>0.11114018842096787</v>
      </c>
    </row>
    <row r="280" spans="1:14" ht="15.75" customHeight="1" x14ac:dyDescent="0.25">
      <c r="A280" s="2" t="s">
        <v>347</v>
      </c>
      <c r="B280" s="2" t="s">
        <v>25</v>
      </c>
      <c r="C280" s="4">
        <v>45537</v>
      </c>
      <c r="D280" s="2" t="s">
        <v>44</v>
      </c>
      <c r="E280" s="2" t="s">
        <v>45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27</v>
      </c>
      <c r="M280" s="2" t="s">
        <v>23</v>
      </c>
      <c r="N280" s="37">
        <f t="shared" si="4"/>
        <v>5.9928644240570844E-2</v>
      </c>
    </row>
    <row r="281" spans="1:14" ht="15.75" customHeight="1" x14ac:dyDescent="0.25">
      <c r="A281" s="2" t="s">
        <v>348</v>
      </c>
      <c r="B281" s="2" t="s">
        <v>25</v>
      </c>
      <c r="C281" s="4">
        <v>45586</v>
      </c>
      <c r="D281" s="2" t="s">
        <v>59</v>
      </c>
      <c r="E281" s="2" t="s">
        <v>143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117</v>
      </c>
      <c r="M281" s="2" t="s">
        <v>34</v>
      </c>
      <c r="N281" s="37">
        <f t="shared" si="4"/>
        <v>8.3274853801169585E-2</v>
      </c>
    </row>
    <row r="282" spans="1:14" ht="15.75" customHeight="1" x14ac:dyDescent="0.25">
      <c r="A282" s="2" t="s">
        <v>349</v>
      </c>
      <c r="B282" s="2" t="s">
        <v>25</v>
      </c>
      <c r="C282" s="4">
        <v>45738</v>
      </c>
      <c r="D282" s="2" t="s">
        <v>44</v>
      </c>
      <c r="E282" s="2" t="s">
        <v>45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33</v>
      </c>
      <c r="M282" s="2" t="s">
        <v>23</v>
      </c>
      <c r="N282" s="37">
        <f t="shared" si="4"/>
        <v>6.3118551273952411E-2</v>
      </c>
    </row>
    <row r="283" spans="1:14" ht="15.75" customHeight="1" x14ac:dyDescent="0.25">
      <c r="A283" s="2" t="s">
        <v>350</v>
      </c>
      <c r="B283" s="2" t="s">
        <v>30</v>
      </c>
      <c r="C283" s="4">
        <v>45568</v>
      </c>
      <c r="D283" s="2" t="s">
        <v>59</v>
      </c>
      <c r="E283" s="2" t="s">
        <v>66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51</v>
      </c>
      <c r="M283" s="2" t="s">
        <v>28</v>
      </c>
      <c r="N283" s="37">
        <f t="shared" si="4"/>
        <v>0.1071650124069479</v>
      </c>
    </row>
    <row r="284" spans="1:14" ht="15.75" customHeight="1" x14ac:dyDescent="0.25">
      <c r="A284" s="2" t="s">
        <v>351</v>
      </c>
      <c r="B284" s="2" t="s">
        <v>14</v>
      </c>
      <c r="C284" s="4">
        <v>45786</v>
      </c>
      <c r="D284" s="2" t="s">
        <v>15</v>
      </c>
      <c r="E284" s="2" t="s">
        <v>16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51</v>
      </c>
      <c r="M284" s="2" t="s">
        <v>23</v>
      </c>
      <c r="N284" s="37">
        <f t="shared" si="4"/>
        <v>5.8243321401216137E-2</v>
      </c>
    </row>
    <row r="285" spans="1:14" ht="15.75" customHeight="1" x14ac:dyDescent="0.25">
      <c r="A285" s="2" t="s">
        <v>352</v>
      </c>
      <c r="B285" s="2" t="s">
        <v>14</v>
      </c>
      <c r="C285" s="4">
        <v>45552</v>
      </c>
      <c r="D285" s="2" t="s">
        <v>20</v>
      </c>
      <c r="E285" s="2" t="s">
        <v>21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27</v>
      </c>
      <c r="M285" s="2" t="s">
        <v>34</v>
      </c>
      <c r="N285" s="37">
        <f t="shared" si="4"/>
        <v>0.11465952405480581</v>
      </c>
    </row>
    <row r="286" spans="1:14" ht="15.75" customHeight="1" x14ac:dyDescent="0.25">
      <c r="A286" s="2" t="s">
        <v>353</v>
      </c>
      <c r="B286" s="2" t="s">
        <v>25</v>
      </c>
      <c r="C286" s="4">
        <v>45491</v>
      </c>
      <c r="D286" s="2" t="s">
        <v>20</v>
      </c>
      <c r="E286" s="2" t="s">
        <v>77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33</v>
      </c>
      <c r="N286" s="37">
        <f t="shared" si="4"/>
        <v>0.13517919809886983</v>
      </c>
    </row>
    <row r="287" spans="1:14" ht="15.75" customHeight="1" x14ac:dyDescent="0.25">
      <c r="A287" s="2" t="s">
        <v>354</v>
      </c>
      <c r="B287" s="2" t="s">
        <v>25</v>
      </c>
      <c r="C287" s="4">
        <v>45560</v>
      </c>
      <c r="D287" s="2" t="s">
        <v>59</v>
      </c>
      <c r="E287" s="2" t="s">
        <v>143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51</v>
      </c>
      <c r="M287" s="2" t="s">
        <v>28</v>
      </c>
      <c r="N287" s="37">
        <f t="shared" si="4"/>
        <v>0.19484607062063539</v>
      </c>
    </row>
    <row r="288" spans="1:14" ht="15.75" customHeight="1" x14ac:dyDescent="0.25">
      <c r="A288" s="2" t="s">
        <v>355</v>
      </c>
      <c r="B288" s="2" t="s">
        <v>30</v>
      </c>
      <c r="C288" s="4">
        <v>45519</v>
      </c>
      <c r="D288" s="2" t="s">
        <v>15</v>
      </c>
      <c r="E288" s="2" t="s">
        <v>64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33</v>
      </c>
      <c r="M288" s="2" t="s">
        <v>18</v>
      </c>
      <c r="N288" s="37">
        <f t="shared" si="4"/>
        <v>0.30126002290950743</v>
      </c>
    </row>
    <row r="289" spans="1:14" ht="15.75" customHeight="1" x14ac:dyDescent="0.25">
      <c r="A289" s="2" t="s">
        <v>356</v>
      </c>
      <c r="B289" s="2" t="s">
        <v>25</v>
      </c>
      <c r="C289" s="4">
        <v>45764</v>
      </c>
      <c r="D289" s="2" t="s">
        <v>39</v>
      </c>
      <c r="E289" s="2" t="s">
        <v>55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51</v>
      </c>
      <c r="M289" s="2" t="s">
        <v>28</v>
      </c>
      <c r="N289" s="37">
        <f t="shared" si="4"/>
        <v>6.800325430032543E-2</v>
      </c>
    </row>
    <row r="290" spans="1:14" ht="15.75" customHeight="1" x14ac:dyDescent="0.25">
      <c r="A290" s="2" t="s">
        <v>357</v>
      </c>
      <c r="B290" s="2" t="s">
        <v>38</v>
      </c>
      <c r="C290" s="4">
        <v>45624</v>
      </c>
      <c r="D290" s="2" t="s">
        <v>39</v>
      </c>
      <c r="E290" s="2" t="s">
        <v>40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51</v>
      </c>
      <c r="N290" s="37">
        <f t="shared" si="4"/>
        <v>7.3018902217375503E-2</v>
      </c>
    </row>
    <row r="291" spans="1:14" ht="15.75" customHeight="1" x14ac:dyDescent="0.25">
      <c r="A291" s="2" t="s">
        <v>358</v>
      </c>
      <c r="B291" s="2" t="s">
        <v>30</v>
      </c>
      <c r="C291" s="4">
        <v>45646</v>
      </c>
      <c r="D291" s="2" t="s">
        <v>39</v>
      </c>
      <c r="E291" s="2" t="s">
        <v>68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33</v>
      </c>
      <c r="M291" s="2" t="s">
        <v>34</v>
      </c>
      <c r="N291" s="37">
        <f t="shared" si="4"/>
        <v>8.3921940869371006E-2</v>
      </c>
    </row>
    <row r="292" spans="1:14" ht="15.75" customHeight="1" x14ac:dyDescent="0.25">
      <c r="A292" s="2" t="s">
        <v>359</v>
      </c>
      <c r="B292" s="2" t="s">
        <v>38</v>
      </c>
      <c r="C292" s="4">
        <v>45602</v>
      </c>
      <c r="D292" s="2" t="s">
        <v>59</v>
      </c>
      <c r="E292" s="2" t="s">
        <v>60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33</v>
      </c>
      <c r="M292" s="2" t="s">
        <v>34</v>
      </c>
      <c r="N292" s="37">
        <f t="shared" si="4"/>
        <v>7.1956537279290869E-2</v>
      </c>
    </row>
    <row r="293" spans="1:14" ht="15.75" customHeight="1" x14ac:dyDescent="0.25">
      <c r="A293" s="2" t="s">
        <v>360</v>
      </c>
      <c r="B293" s="2" t="s">
        <v>38</v>
      </c>
      <c r="C293" s="4">
        <v>45613</v>
      </c>
      <c r="D293" s="2" t="s">
        <v>20</v>
      </c>
      <c r="E293" s="2" t="s">
        <v>47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72</v>
      </c>
      <c r="N293" s="37">
        <f t="shared" si="4"/>
        <v>0.12353896103896105</v>
      </c>
    </row>
    <row r="294" spans="1:14" ht="15.75" customHeight="1" x14ac:dyDescent="0.25">
      <c r="A294" s="2" t="s">
        <v>361</v>
      </c>
      <c r="B294" s="2" t="s">
        <v>38</v>
      </c>
      <c r="C294" s="4">
        <v>45791</v>
      </c>
      <c r="D294" s="2" t="s">
        <v>20</v>
      </c>
      <c r="E294" s="2" t="s">
        <v>47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33</v>
      </c>
      <c r="M294" s="2" t="s">
        <v>18</v>
      </c>
      <c r="N294" s="37">
        <f t="shared" si="4"/>
        <v>0.12428384068475185</v>
      </c>
    </row>
    <row r="295" spans="1:14" ht="15.75" customHeight="1" x14ac:dyDescent="0.25">
      <c r="A295" s="2" t="s">
        <v>362</v>
      </c>
      <c r="B295" s="2" t="s">
        <v>38</v>
      </c>
      <c r="C295" s="4">
        <v>45462</v>
      </c>
      <c r="D295" s="2" t="s">
        <v>39</v>
      </c>
      <c r="E295" s="2" t="s">
        <v>40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33</v>
      </c>
      <c r="M295" s="2" t="s">
        <v>28</v>
      </c>
      <c r="N295" s="37">
        <f t="shared" si="4"/>
        <v>0.18248432325794406</v>
      </c>
    </row>
    <row r="296" spans="1:14" ht="15.75" customHeight="1" x14ac:dyDescent="0.25">
      <c r="A296" s="2" t="s">
        <v>363</v>
      </c>
      <c r="B296" s="2" t="s">
        <v>14</v>
      </c>
      <c r="C296" s="4">
        <v>45783</v>
      </c>
      <c r="D296" s="2" t="s">
        <v>44</v>
      </c>
      <c r="E296" s="2" t="s">
        <v>92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141</v>
      </c>
      <c r="M296" s="2" t="s">
        <v>23</v>
      </c>
      <c r="N296" s="37">
        <f t="shared" si="4"/>
        <v>0.16540727459016394</v>
      </c>
    </row>
    <row r="297" spans="1:14" ht="15.75" customHeight="1" x14ac:dyDescent="0.25">
      <c r="A297" s="2" t="s">
        <v>364</v>
      </c>
      <c r="B297" s="2" t="s">
        <v>14</v>
      </c>
      <c r="C297" s="4">
        <v>45699</v>
      </c>
      <c r="D297" s="2" t="s">
        <v>59</v>
      </c>
      <c r="E297" s="2" t="s">
        <v>99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268</v>
      </c>
      <c r="M297" s="2" t="s">
        <v>34</v>
      </c>
      <c r="N297" s="37">
        <f t="shared" si="4"/>
        <v>5.9387824897400819E-2</v>
      </c>
    </row>
    <row r="298" spans="1:14" ht="15.75" customHeight="1" x14ac:dyDescent="0.25">
      <c r="A298" s="2" t="s">
        <v>365</v>
      </c>
      <c r="B298" s="2" t="s">
        <v>14</v>
      </c>
      <c r="C298" s="4">
        <v>45650</v>
      </c>
      <c r="D298" s="2" t="s">
        <v>20</v>
      </c>
      <c r="E298" s="2" t="s">
        <v>21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33</v>
      </c>
      <c r="M298" s="2" t="s">
        <v>34</v>
      </c>
      <c r="N298" s="37">
        <f t="shared" si="4"/>
        <v>0.24349030470914126</v>
      </c>
    </row>
    <row r="299" spans="1:14" ht="15.75" customHeight="1" x14ac:dyDescent="0.25">
      <c r="A299" s="2" t="s">
        <v>366</v>
      </c>
      <c r="B299" s="2" t="s">
        <v>38</v>
      </c>
      <c r="C299" s="4">
        <v>45589</v>
      </c>
      <c r="D299" s="2" t="s">
        <v>44</v>
      </c>
      <c r="E299" s="2" t="s">
        <v>49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27</v>
      </c>
      <c r="M299" s="2" t="s">
        <v>28</v>
      </c>
      <c r="N299" s="37">
        <f t="shared" si="4"/>
        <v>5.8563792702765516E-2</v>
      </c>
    </row>
    <row r="300" spans="1:14" ht="15.75" customHeight="1" x14ac:dyDescent="0.25">
      <c r="A300" s="2" t="s">
        <v>367</v>
      </c>
      <c r="B300" s="2" t="s">
        <v>38</v>
      </c>
      <c r="C300" s="4">
        <v>45530</v>
      </c>
      <c r="D300" s="2" t="s">
        <v>44</v>
      </c>
      <c r="E300" s="2" t="s">
        <v>49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51</v>
      </c>
      <c r="M300" s="2" t="s">
        <v>28</v>
      </c>
      <c r="N300" s="37">
        <f t="shared" si="4"/>
        <v>0.13840458048129492</v>
      </c>
    </row>
    <row r="301" spans="1:14" ht="15.75" customHeight="1" x14ac:dyDescent="0.25">
      <c r="A301" s="2" t="s">
        <v>368</v>
      </c>
      <c r="B301" s="2" t="s">
        <v>14</v>
      </c>
      <c r="C301" s="4">
        <v>45535</v>
      </c>
      <c r="D301" s="2" t="s">
        <v>39</v>
      </c>
      <c r="E301" s="2" t="s">
        <v>42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328</v>
      </c>
      <c r="M301" s="2" t="s">
        <v>18</v>
      </c>
      <c r="N301" s="37">
        <f t="shared" si="4"/>
        <v>8.3539958039290485E-2</v>
      </c>
    </row>
    <row r="302" spans="1:14" ht="15.75" customHeight="1" x14ac:dyDescent="0.25"/>
    <row r="303" spans="1:14" ht="15.75" customHeight="1" x14ac:dyDescent="0.25"/>
    <row r="304" spans="1:1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4D60-9ECF-4424-9739-58487DE35FB2}">
  <dimension ref="A1:G1000"/>
  <sheetViews>
    <sheetView workbookViewId="0">
      <selection activeCell="C8" sqref="C8"/>
    </sheetView>
  </sheetViews>
  <sheetFormatPr defaultColWidth="14.42578125" defaultRowHeight="15" customHeight="1" x14ac:dyDescent="0.25"/>
  <cols>
    <col min="1" max="1" width="17.5703125" customWidth="1"/>
    <col min="2" max="2" width="23.28515625" customWidth="1"/>
    <col min="3" max="3" width="25.28515625" customWidth="1"/>
    <col min="4" max="4" width="13.5703125" customWidth="1"/>
    <col min="5" max="5" width="19.140625" customWidth="1"/>
    <col min="6" max="6" width="23.7109375" customWidth="1"/>
    <col min="7" max="7" width="35.140625" customWidth="1"/>
    <col min="8" max="26" width="8.7109375" customWidth="1"/>
  </cols>
  <sheetData>
    <row r="1" spans="1:7" x14ac:dyDescent="0.25">
      <c r="A1" s="1" t="s">
        <v>12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</row>
    <row r="2" spans="1:7" x14ac:dyDescent="0.25">
      <c r="A2" s="2" t="s">
        <v>18</v>
      </c>
      <c r="B2" s="4">
        <v>45458</v>
      </c>
      <c r="C2" s="4">
        <v>45488</v>
      </c>
      <c r="D2" s="2" t="s">
        <v>389</v>
      </c>
      <c r="E2" s="2">
        <v>150000</v>
      </c>
      <c r="F2" s="2" t="s">
        <v>390</v>
      </c>
      <c r="G2" s="2" t="s">
        <v>36</v>
      </c>
    </row>
    <row r="3" spans="1:7" x14ac:dyDescent="0.25">
      <c r="A3" s="2" t="s">
        <v>23</v>
      </c>
      <c r="B3" s="4">
        <v>45566</v>
      </c>
      <c r="C3" s="4">
        <v>45596</v>
      </c>
      <c r="D3" s="2" t="s">
        <v>391</v>
      </c>
      <c r="E3" s="2">
        <v>200000</v>
      </c>
      <c r="F3" s="2" t="s">
        <v>392</v>
      </c>
      <c r="G3" s="2" t="s">
        <v>393</v>
      </c>
    </row>
    <row r="4" spans="1:7" x14ac:dyDescent="0.25">
      <c r="A4" s="2" t="s">
        <v>28</v>
      </c>
      <c r="B4" s="4">
        <v>45651</v>
      </c>
      <c r="C4" s="4">
        <v>45667</v>
      </c>
      <c r="D4" s="2" t="s">
        <v>394</v>
      </c>
      <c r="E4" s="2">
        <v>250000</v>
      </c>
      <c r="F4" s="2" t="s">
        <v>395</v>
      </c>
      <c r="G4" s="2" t="s">
        <v>381</v>
      </c>
    </row>
    <row r="5" spans="1:7" x14ac:dyDescent="0.25">
      <c r="A5" s="2" t="s">
        <v>34</v>
      </c>
      <c r="B5" s="4">
        <v>45717</v>
      </c>
      <c r="C5" s="4">
        <v>45747</v>
      </c>
      <c r="D5" s="2" t="s">
        <v>396</v>
      </c>
      <c r="E5" s="2">
        <v>180000</v>
      </c>
      <c r="F5" s="2" t="s">
        <v>397</v>
      </c>
      <c r="G5" s="2" t="s">
        <v>398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3410-5FE5-4DF1-BC05-05CB03DC69C3}">
  <dimension ref="A1:G1000"/>
  <sheetViews>
    <sheetView workbookViewId="0">
      <selection activeCell="H194" sqref="H194"/>
    </sheetView>
  </sheetViews>
  <sheetFormatPr defaultColWidth="14.42578125" defaultRowHeight="15" customHeight="1" x14ac:dyDescent="0.25"/>
  <cols>
    <col min="1" max="1" width="26.85546875" customWidth="1"/>
    <col min="2" max="2" width="18.42578125" customWidth="1"/>
    <col min="3" max="3" width="13.7109375" customWidth="1"/>
    <col min="4" max="4" width="15.7109375" customWidth="1"/>
    <col min="5" max="5" width="21.42578125" customWidth="1"/>
    <col min="6" max="6" width="20.85546875" customWidth="1"/>
    <col min="7" max="7" width="11.28515625" customWidth="1"/>
    <col min="8" max="26" width="8.7109375" customWidth="1"/>
  </cols>
  <sheetData>
    <row r="1" spans="1:7" x14ac:dyDescent="0.25">
      <c r="A1" s="1" t="s">
        <v>369</v>
      </c>
      <c r="B1" s="1" t="s">
        <v>1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</row>
    <row r="2" spans="1:7" x14ac:dyDescent="0.25">
      <c r="A2" s="4">
        <v>45446</v>
      </c>
      <c r="B2" s="2" t="s">
        <v>30</v>
      </c>
      <c r="C2" s="2">
        <v>1135</v>
      </c>
      <c r="D2" s="2">
        <v>88</v>
      </c>
      <c r="E2" s="2">
        <v>344084</v>
      </c>
      <c r="F2" s="2">
        <v>8.06</v>
      </c>
      <c r="G2" s="2">
        <v>5904</v>
      </c>
    </row>
    <row r="3" spans="1:7" x14ac:dyDescent="0.25">
      <c r="A3" s="4">
        <v>45446</v>
      </c>
      <c r="B3" s="2" t="s">
        <v>38</v>
      </c>
      <c r="C3" s="2">
        <v>1312</v>
      </c>
      <c r="D3" s="2">
        <v>310</v>
      </c>
      <c r="E3" s="2">
        <v>42654</v>
      </c>
      <c r="F3" s="2">
        <v>4.9800000000000004</v>
      </c>
      <c r="G3" s="2">
        <v>9566</v>
      </c>
    </row>
    <row r="4" spans="1:7" x14ac:dyDescent="0.25">
      <c r="A4" s="4">
        <v>45446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2">
        <v>26752</v>
      </c>
    </row>
    <row r="5" spans="1:7" x14ac:dyDescent="0.25">
      <c r="A5" s="4">
        <v>45446</v>
      </c>
      <c r="B5" s="2" t="s">
        <v>25</v>
      </c>
      <c r="C5" s="2">
        <v>1535</v>
      </c>
      <c r="D5" s="2">
        <v>445</v>
      </c>
      <c r="E5" s="2">
        <v>395536</v>
      </c>
      <c r="F5" s="2">
        <v>4.1100000000000003</v>
      </c>
      <c r="G5" s="2">
        <v>30671</v>
      </c>
    </row>
    <row r="6" spans="1:7" x14ac:dyDescent="0.25">
      <c r="A6" s="4">
        <v>45453</v>
      </c>
      <c r="B6" s="2" t="s">
        <v>30</v>
      </c>
      <c r="C6" s="2">
        <v>656</v>
      </c>
      <c r="D6" s="2">
        <v>139</v>
      </c>
      <c r="E6" s="2">
        <v>49157</v>
      </c>
      <c r="F6" s="2">
        <v>9.0500000000000007</v>
      </c>
      <c r="G6" s="2">
        <v>9920</v>
      </c>
    </row>
    <row r="7" spans="1:7" x14ac:dyDescent="0.25">
      <c r="A7" s="4">
        <v>45453</v>
      </c>
      <c r="B7" s="2" t="s">
        <v>38</v>
      </c>
      <c r="C7" s="2">
        <v>1697</v>
      </c>
      <c r="D7" s="2">
        <v>414</v>
      </c>
      <c r="E7" s="2">
        <v>316555</v>
      </c>
      <c r="F7" s="2">
        <v>2.37</v>
      </c>
      <c r="G7" s="2">
        <v>7924</v>
      </c>
    </row>
    <row r="8" spans="1:7" x14ac:dyDescent="0.25">
      <c r="A8" s="4">
        <v>45453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2">
        <v>8912</v>
      </c>
    </row>
    <row r="9" spans="1:7" x14ac:dyDescent="0.25">
      <c r="A9" s="4">
        <v>45453</v>
      </c>
      <c r="B9" s="2" t="s">
        <v>25</v>
      </c>
      <c r="C9" s="2">
        <v>1197</v>
      </c>
      <c r="D9" s="2">
        <v>203</v>
      </c>
      <c r="E9" s="2">
        <v>413878</v>
      </c>
      <c r="F9" s="2">
        <v>3.16</v>
      </c>
      <c r="G9" s="2">
        <v>21205</v>
      </c>
    </row>
    <row r="10" spans="1:7" x14ac:dyDescent="0.25">
      <c r="A10" s="4">
        <v>45460</v>
      </c>
      <c r="B10" s="2" t="s">
        <v>30</v>
      </c>
      <c r="C10" s="2">
        <v>1048</v>
      </c>
      <c r="D10" s="2">
        <v>155</v>
      </c>
      <c r="E10" s="2">
        <v>456946</v>
      </c>
      <c r="F10" s="2">
        <v>2.46</v>
      </c>
      <c r="G10" s="2">
        <v>11329</v>
      </c>
    </row>
    <row r="11" spans="1:7" x14ac:dyDescent="0.25">
      <c r="A11" s="4">
        <v>45460</v>
      </c>
      <c r="B11" s="2" t="s">
        <v>38</v>
      </c>
      <c r="C11" s="2">
        <v>1753</v>
      </c>
      <c r="D11" s="2">
        <v>371</v>
      </c>
      <c r="E11" s="2">
        <v>169496</v>
      </c>
      <c r="F11" s="2">
        <v>8.11</v>
      </c>
      <c r="G11" s="2">
        <v>46670</v>
      </c>
    </row>
    <row r="12" spans="1:7" x14ac:dyDescent="0.25">
      <c r="A12" s="4">
        <v>45460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2">
        <v>22482</v>
      </c>
    </row>
    <row r="13" spans="1:7" x14ac:dyDescent="0.25">
      <c r="A13" s="4">
        <v>45460</v>
      </c>
      <c r="B13" s="2" t="s">
        <v>25</v>
      </c>
      <c r="C13" s="2">
        <v>403</v>
      </c>
      <c r="D13" s="2">
        <v>66</v>
      </c>
      <c r="E13" s="2">
        <v>382851</v>
      </c>
      <c r="F13" s="2">
        <v>3.49</v>
      </c>
      <c r="G13" s="2">
        <v>24313</v>
      </c>
    </row>
    <row r="14" spans="1:7" x14ac:dyDescent="0.25">
      <c r="A14" s="4">
        <v>45467</v>
      </c>
      <c r="B14" s="2" t="s">
        <v>30</v>
      </c>
      <c r="C14" s="2">
        <v>911</v>
      </c>
      <c r="D14" s="2">
        <v>282</v>
      </c>
      <c r="E14" s="2">
        <v>35664</v>
      </c>
      <c r="F14" s="2">
        <v>6.92</v>
      </c>
      <c r="G14" s="2">
        <v>18050</v>
      </c>
    </row>
    <row r="15" spans="1:7" x14ac:dyDescent="0.25">
      <c r="A15" s="4">
        <v>45467</v>
      </c>
      <c r="B15" s="2" t="s">
        <v>38</v>
      </c>
      <c r="C15" s="2">
        <v>1779</v>
      </c>
      <c r="D15" s="2">
        <v>109</v>
      </c>
      <c r="E15" s="2">
        <v>26295</v>
      </c>
      <c r="F15" s="2">
        <v>9.1199999999999992</v>
      </c>
      <c r="G15" s="2">
        <v>30635</v>
      </c>
    </row>
    <row r="16" spans="1:7" x14ac:dyDescent="0.25">
      <c r="A16" s="4">
        <v>45467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2">
        <v>31280</v>
      </c>
    </row>
    <row r="17" spans="1:7" x14ac:dyDescent="0.25">
      <c r="A17" s="4">
        <v>45467</v>
      </c>
      <c r="B17" s="2" t="s">
        <v>25</v>
      </c>
      <c r="C17" s="2">
        <v>308</v>
      </c>
      <c r="D17" s="2">
        <v>431</v>
      </c>
      <c r="E17" s="2">
        <v>426184</v>
      </c>
      <c r="F17" s="2">
        <v>2.62</v>
      </c>
      <c r="G17" s="2">
        <v>1783</v>
      </c>
    </row>
    <row r="18" spans="1:7" x14ac:dyDescent="0.25">
      <c r="A18" s="4">
        <v>45474</v>
      </c>
      <c r="B18" s="2" t="s">
        <v>30</v>
      </c>
      <c r="C18" s="2">
        <v>226</v>
      </c>
      <c r="D18" s="2">
        <v>445</v>
      </c>
      <c r="E18" s="2">
        <v>419447</v>
      </c>
      <c r="F18" s="2">
        <v>9.36</v>
      </c>
      <c r="G18" s="2">
        <v>9566</v>
      </c>
    </row>
    <row r="19" spans="1:7" x14ac:dyDescent="0.25">
      <c r="A19" s="4">
        <v>45474</v>
      </c>
      <c r="B19" s="2" t="s">
        <v>38</v>
      </c>
      <c r="C19" s="2">
        <v>505</v>
      </c>
      <c r="D19" s="2">
        <v>441</v>
      </c>
      <c r="E19" s="2">
        <v>220020</v>
      </c>
      <c r="F19" s="2">
        <v>4.4800000000000004</v>
      </c>
      <c r="G19" s="2">
        <v>42307</v>
      </c>
    </row>
    <row r="20" spans="1:7" x14ac:dyDescent="0.25">
      <c r="A20" s="4">
        <v>45474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2">
        <v>5914</v>
      </c>
    </row>
    <row r="21" spans="1:7" ht="15.75" customHeight="1" x14ac:dyDescent="0.25">
      <c r="A21" s="4">
        <v>45474</v>
      </c>
      <c r="B21" s="2" t="s">
        <v>25</v>
      </c>
      <c r="C21" s="2">
        <v>144</v>
      </c>
      <c r="D21" s="2">
        <v>53</v>
      </c>
      <c r="E21" s="2">
        <v>113678</v>
      </c>
      <c r="F21" s="2">
        <v>8.7200000000000006</v>
      </c>
      <c r="G21" s="2">
        <v>30060</v>
      </c>
    </row>
    <row r="22" spans="1:7" ht="15.75" customHeight="1" x14ac:dyDescent="0.25">
      <c r="A22" s="4">
        <v>45481</v>
      </c>
      <c r="B22" s="2" t="s">
        <v>30</v>
      </c>
      <c r="C22" s="2">
        <v>1757</v>
      </c>
      <c r="D22" s="2">
        <v>85</v>
      </c>
      <c r="E22" s="2">
        <v>58223</v>
      </c>
      <c r="F22" s="2">
        <v>8.74</v>
      </c>
      <c r="G22" s="2">
        <v>22728</v>
      </c>
    </row>
    <row r="23" spans="1:7" ht="15.75" customHeight="1" x14ac:dyDescent="0.25">
      <c r="A23" s="4">
        <v>45481</v>
      </c>
      <c r="B23" s="2" t="s">
        <v>38</v>
      </c>
      <c r="C23" s="2">
        <v>350</v>
      </c>
      <c r="D23" s="2">
        <v>41</v>
      </c>
      <c r="E23" s="2">
        <v>251694</v>
      </c>
      <c r="F23" s="2">
        <v>1.91</v>
      </c>
      <c r="G23" s="2">
        <v>38610</v>
      </c>
    </row>
    <row r="24" spans="1:7" ht="15.75" customHeight="1" x14ac:dyDescent="0.25">
      <c r="A24" s="4">
        <v>45481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2">
        <v>2932</v>
      </c>
    </row>
    <row r="25" spans="1:7" ht="15.75" customHeight="1" x14ac:dyDescent="0.25">
      <c r="A25" s="4">
        <v>45481</v>
      </c>
      <c r="B25" s="2" t="s">
        <v>25</v>
      </c>
      <c r="C25" s="2">
        <v>883</v>
      </c>
      <c r="D25" s="2">
        <v>369</v>
      </c>
      <c r="E25" s="2">
        <v>233694</v>
      </c>
      <c r="F25" s="2">
        <v>2.88</v>
      </c>
      <c r="G25" s="2">
        <v>15071</v>
      </c>
    </row>
    <row r="26" spans="1:7" ht="15.75" customHeight="1" x14ac:dyDescent="0.25">
      <c r="A26" s="4">
        <v>45488</v>
      </c>
      <c r="B26" s="2" t="s">
        <v>30</v>
      </c>
      <c r="C26" s="2">
        <v>1960</v>
      </c>
      <c r="D26" s="2">
        <v>115</v>
      </c>
      <c r="E26" s="2">
        <v>154169</v>
      </c>
      <c r="F26" s="2">
        <v>3.74</v>
      </c>
      <c r="G26" s="2">
        <v>10740</v>
      </c>
    </row>
    <row r="27" spans="1:7" ht="15.75" customHeight="1" x14ac:dyDescent="0.25">
      <c r="A27" s="4">
        <v>45488</v>
      </c>
      <c r="B27" s="2" t="s">
        <v>38</v>
      </c>
      <c r="C27" s="2">
        <v>170</v>
      </c>
      <c r="D27" s="2">
        <v>334</v>
      </c>
      <c r="E27" s="2">
        <v>334626</v>
      </c>
      <c r="F27" s="2">
        <v>6.44</v>
      </c>
      <c r="G27" s="2">
        <v>43420</v>
      </c>
    </row>
    <row r="28" spans="1:7" ht="15.75" customHeight="1" x14ac:dyDescent="0.25">
      <c r="A28" s="4">
        <v>45488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2">
        <v>32393</v>
      </c>
    </row>
    <row r="29" spans="1:7" ht="15.75" customHeight="1" x14ac:dyDescent="0.25">
      <c r="A29" s="4">
        <v>45488</v>
      </c>
      <c r="B29" s="2" t="s">
        <v>25</v>
      </c>
      <c r="C29" s="2">
        <v>224</v>
      </c>
      <c r="D29" s="2">
        <v>64</v>
      </c>
      <c r="E29" s="2">
        <v>156683</v>
      </c>
      <c r="F29" s="2">
        <v>4.5599999999999996</v>
      </c>
      <c r="G29" s="2">
        <v>28474</v>
      </c>
    </row>
    <row r="30" spans="1:7" ht="15.75" customHeight="1" x14ac:dyDescent="0.25">
      <c r="A30" s="4">
        <v>45495</v>
      </c>
      <c r="B30" s="2" t="s">
        <v>30</v>
      </c>
      <c r="C30" s="2">
        <v>508</v>
      </c>
      <c r="D30" s="2">
        <v>349</v>
      </c>
      <c r="E30" s="2">
        <v>473812</v>
      </c>
      <c r="F30" s="2">
        <v>7.88</v>
      </c>
      <c r="G30" s="2">
        <v>17328</v>
      </c>
    </row>
    <row r="31" spans="1:7" ht="15.75" customHeight="1" x14ac:dyDescent="0.25">
      <c r="A31" s="4">
        <v>45495</v>
      </c>
      <c r="B31" s="2" t="s">
        <v>38</v>
      </c>
      <c r="C31" s="2">
        <v>1391</v>
      </c>
      <c r="D31" s="2">
        <v>430</v>
      </c>
      <c r="E31" s="2">
        <v>295032</v>
      </c>
      <c r="F31" s="2">
        <v>7.86</v>
      </c>
      <c r="G31" s="2">
        <v>26067</v>
      </c>
    </row>
    <row r="32" spans="1:7" ht="15.75" customHeight="1" x14ac:dyDescent="0.25">
      <c r="A32" s="4">
        <v>45495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2">
        <v>32763</v>
      </c>
    </row>
    <row r="33" spans="1:7" ht="15.75" customHeight="1" x14ac:dyDescent="0.25">
      <c r="A33" s="4">
        <v>45495</v>
      </c>
      <c r="B33" s="2" t="s">
        <v>25</v>
      </c>
      <c r="C33" s="2">
        <v>804</v>
      </c>
      <c r="D33" s="2">
        <v>487</v>
      </c>
      <c r="E33" s="2">
        <v>306564</v>
      </c>
      <c r="F33" s="2">
        <v>5.52</v>
      </c>
      <c r="G33" s="2">
        <v>26452</v>
      </c>
    </row>
    <row r="34" spans="1:7" ht="15.75" customHeight="1" x14ac:dyDescent="0.25">
      <c r="A34" s="4">
        <v>45502</v>
      </c>
      <c r="B34" s="2" t="s">
        <v>30</v>
      </c>
      <c r="C34" s="2">
        <v>653</v>
      </c>
      <c r="D34" s="2">
        <v>112</v>
      </c>
      <c r="E34" s="2">
        <v>23664</v>
      </c>
      <c r="F34" s="2">
        <v>4.05</v>
      </c>
      <c r="G34" s="2">
        <v>15353</v>
      </c>
    </row>
    <row r="35" spans="1:7" ht="15.75" customHeight="1" x14ac:dyDescent="0.25">
      <c r="A35" s="4">
        <v>45502</v>
      </c>
      <c r="B35" s="2" t="s">
        <v>38</v>
      </c>
      <c r="C35" s="2">
        <v>160</v>
      </c>
      <c r="D35" s="2">
        <v>478</v>
      </c>
      <c r="E35" s="2">
        <v>435034</v>
      </c>
      <c r="F35" s="2">
        <v>7.73</v>
      </c>
      <c r="G35" s="2">
        <v>4839</v>
      </c>
    </row>
    <row r="36" spans="1:7" ht="15.75" customHeight="1" x14ac:dyDescent="0.25">
      <c r="A36" s="4">
        <v>45502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2">
        <v>39272</v>
      </c>
    </row>
    <row r="37" spans="1:7" ht="15.75" customHeight="1" x14ac:dyDescent="0.25">
      <c r="A37" s="4">
        <v>45502</v>
      </c>
      <c r="B37" s="2" t="s">
        <v>25</v>
      </c>
      <c r="C37" s="2">
        <v>576</v>
      </c>
      <c r="D37" s="2">
        <v>101</v>
      </c>
      <c r="E37" s="2">
        <v>62499</v>
      </c>
      <c r="F37" s="2">
        <v>3.48</v>
      </c>
      <c r="G37" s="2">
        <v>16804</v>
      </c>
    </row>
    <row r="38" spans="1:7" ht="15.75" customHeight="1" x14ac:dyDescent="0.25">
      <c r="A38" s="4">
        <v>45509</v>
      </c>
      <c r="B38" s="2" t="s">
        <v>30</v>
      </c>
      <c r="C38" s="2">
        <v>645</v>
      </c>
      <c r="D38" s="2">
        <v>293</v>
      </c>
      <c r="E38" s="2">
        <v>437968</v>
      </c>
      <c r="F38" s="2">
        <v>7.83</v>
      </c>
      <c r="G38" s="2">
        <v>49303</v>
      </c>
    </row>
    <row r="39" spans="1:7" ht="15.75" customHeight="1" x14ac:dyDescent="0.25">
      <c r="A39" s="4">
        <v>45509</v>
      </c>
      <c r="B39" s="2" t="s">
        <v>38</v>
      </c>
      <c r="C39" s="2">
        <v>214</v>
      </c>
      <c r="D39" s="2">
        <v>411</v>
      </c>
      <c r="E39" s="2">
        <v>125034</v>
      </c>
      <c r="F39" s="2">
        <v>6.11</v>
      </c>
      <c r="G39" s="2">
        <v>26455</v>
      </c>
    </row>
    <row r="40" spans="1:7" ht="15.75" customHeight="1" x14ac:dyDescent="0.25">
      <c r="A40" s="4">
        <v>45509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2">
        <v>12384</v>
      </c>
    </row>
    <row r="41" spans="1:7" ht="15.75" customHeight="1" x14ac:dyDescent="0.25">
      <c r="A41" s="4">
        <v>45509</v>
      </c>
      <c r="B41" s="2" t="s">
        <v>25</v>
      </c>
      <c r="C41" s="2">
        <v>460</v>
      </c>
      <c r="D41" s="2">
        <v>141</v>
      </c>
      <c r="E41" s="2">
        <v>320650</v>
      </c>
      <c r="F41" s="2">
        <v>4.04</v>
      </c>
      <c r="G41" s="2">
        <v>49372</v>
      </c>
    </row>
    <row r="42" spans="1:7" ht="15.75" customHeight="1" x14ac:dyDescent="0.25">
      <c r="A42" s="4">
        <v>45516</v>
      </c>
      <c r="B42" s="2" t="s">
        <v>30</v>
      </c>
      <c r="C42" s="2">
        <v>1528</v>
      </c>
      <c r="D42" s="2">
        <v>203</v>
      </c>
      <c r="E42" s="2">
        <v>489188</v>
      </c>
      <c r="F42" s="2">
        <v>6.23</v>
      </c>
      <c r="G42" s="2">
        <v>47101</v>
      </c>
    </row>
    <row r="43" spans="1:7" ht="15.75" customHeight="1" x14ac:dyDescent="0.25">
      <c r="A43" s="4">
        <v>45516</v>
      </c>
      <c r="B43" s="2" t="s">
        <v>38</v>
      </c>
      <c r="C43" s="2">
        <v>1534</v>
      </c>
      <c r="D43" s="2">
        <v>200</v>
      </c>
      <c r="E43" s="2">
        <v>307612</v>
      </c>
      <c r="F43" s="2">
        <v>6.01</v>
      </c>
      <c r="G43" s="2">
        <v>37903</v>
      </c>
    </row>
    <row r="44" spans="1:7" ht="15.75" customHeight="1" x14ac:dyDescent="0.25">
      <c r="A44" s="4">
        <v>45516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2">
        <v>33258</v>
      </c>
    </row>
    <row r="45" spans="1:7" ht="15.75" customHeight="1" x14ac:dyDescent="0.25">
      <c r="A45" s="4">
        <v>45516</v>
      </c>
      <c r="B45" s="2" t="s">
        <v>25</v>
      </c>
      <c r="C45" s="2">
        <v>1210</v>
      </c>
      <c r="D45" s="2">
        <v>178</v>
      </c>
      <c r="E45" s="2">
        <v>102042</v>
      </c>
      <c r="F45" s="2">
        <v>5.42</v>
      </c>
      <c r="G45" s="2">
        <v>6915</v>
      </c>
    </row>
    <row r="46" spans="1:7" ht="15.75" customHeight="1" x14ac:dyDescent="0.25">
      <c r="A46" s="4">
        <v>45523</v>
      </c>
      <c r="B46" s="2" t="s">
        <v>30</v>
      </c>
      <c r="C46" s="2">
        <v>215</v>
      </c>
      <c r="D46" s="2">
        <v>139</v>
      </c>
      <c r="E46" s="2">
        <v>325444</v>
      </c>
      <c r="F46" s="2">
        <v>3.25</v>
      </c>
      <c r="G46" s="2">
        <v>35501</v>
      </c>
    </row>
    <row r="47" spans="1:7" ht="15.75" customHeight="1" x14ac:dyDescent="0.25">
      <c r="A47" s="4">
        <v>45523</v>
      </c>
      <c r="B47" s="2" t="s">
        <v>38</v>
      </c>
      <c r="C47" s="2">
        <v>1078</v>
      </c>
      <c r="D47" s="2">
        <v>20</v>
      </c>
      <c r="E47" s="2">
        <v>183924</v>
      </c>
      <c r="F47" s="2">
        <v>8.84</v>
      </c>
      <c r="G47" s="2">
        <v>14203</v>
      </c>
    </row>
    <row r="48" spans="1:7" ht="15.75" customHeight="1" x14ac:dyDescent="0.25">
      <c r="A48" s="4">
        <v>45523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2">
        <v>22206</v>
      </c>
    </row>
    <row r="49" spans="1:7" ht="15.75" customHeight="1" x14ac:dyDescent="0.25">
      <c r="A49" s="4">
        <v>45523</v>
      </c>
      <c r="B49" s="2" t="s">
        <v>25</v>
      </c>
      <c r="C49" s="2">
        <v>221</v>
      </c>
      <c r="D49" s="2">
        <v>31</v>
      </c>
      <c r="E49" s="2">
        <v>87443</v>
      </c>
      <c r="F49" s="2">
        <v>6.19</v>
      </c>
      <c r="G49" s="2">
        <v>10283</v>
      </c>
    </row>
    <row r="50" spans="1:7" ht="15.75" customHeight="1" x14ac:dyDescent="0.25">
      <c r="A50" s="4">
        <v>45530</v>
      </c>
      <c r="B50" s="2" t="s">
        <v>30</v>
      </c>
      <c r="C50" s="2">
        <v>1685</v>
      </c>
      <c r="D50" s="2">
        <v>76</v>
      </c>
      <c r="E50" s="2">
        <v>453799</v>
      </c>
      <c r="F50" s="2">
        <v>5.71</v>
      </c>
      <c r="G50" s="2">
        <v>24913</v>
      </c>
    </row>
    <row r="51" spans="1:7" ht="15.75" customHeight="1" x14ac:dyDescent="0.25">
      <c r="A51" s="4">
        <v>45530</v>
      </c>
      <c r="B51" s="2" t="s">
        <v>38</v>
      </c>
      <c r="C51" s="2">
        <v>248</v>
      </c>
      <c r="D51" s="2">
        <v>211</v>
      </c>
      <c r="E51" s="2">
        <v>379380</v>
      </c>
      <c r="F51" s="2">
        <v>9.0399999999999991</v>
      </c>
      <c r="G51" s="2">
        <v>26925</v>
      </c>
    </row>
    <row r="52" spans="1:7" ht="15.75" customHeight="1" x14ac:dyDescent="0.25">
      <c r="A52" s="4">
        <v>45530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2">
        <v>9942</v>
      </c>
    </row>
    <row r="53" spans="1:7" ht="15.75" customHeight="1" x14ac:dyDescent="0.25">
      <c r="A53" s="4">
        <v>45530</v>
      </c>
      <c r="B53" s="2" t="s">
        <v>25</v>
      </c>
      <c r="C53" s="2">
        <v>422</v>
      </c>
      <c r="D53" s="2">
        <v>394</v>
      </c>
      <c r="E53" s="2">
        <v>239044</v>
      </c>
      <c r="F53" s="2">
        <v>7.83</v>
      </c>
      <c r="G53" s="2">
        <v>32929</v>
      </c>
    </row>
    <row r="54" spans="1:7" ht="15.75" customHeight="1" x14ac:dyDescent="0.25">
      <c r="A54" s="4">
        <v>45537</v>
      </c>
      <c r="B54" s="2" t="s">
        <v>30</v>
      </c>
      <c r="C54" s="2">
        <v>1429</v>
      </c>
      <c r="D54" s="2">
        <v>182</v>
      </c>
      <c r="E54" s="2">
        <v>101332</v>
      </c>
      <c r="F54" s="2">
        <v>7.16</v>
      </c>
      <c r="G54" s="2">
        <v>37829</v>
      </c>
    </row>
    <row r="55" spans="1:7" ht="15.75" customHeight="1" x14ac:dyDescent="0.25">
      <c r="A55" s="4">
        <v>45537</v>
      </c>
      <c r="B55" s="2" t="s">
        <v>38</v>
      </c>
      <c r="C55" s="2">
        <v>1520</v>
      </c>
      <c r="D55" s="2">
        <v>475</v>
      </c>
      <c r="E55" s="2">
        <v>496982</v>
      </c>
      <c r="F55" s="2">
        <v>6.41</v>
      </c>
      <c r="G55" s="2">
        <v>24384</v>
      </c>
    </row>
    <row r="56" spans="1:7" ht="15.75" customHeight="1" x14ac:dyDescent="0.25">
      <c r="A56" s="4">
        <v>45537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2">
        <v>25797</v>
      </c>
    </row>
    <row r="57" spans="1:7" ht="15.75" customHeight="1" x14ac:dyDescent="0.25">
      <c r="A57" s="4">
        <v>45537</v>
      </c>
      <c r="B57" s="2" t="s">
        <v>25</v>
      </c>
      <c r="C57" s="2">
        <v>728</v>
      </c>
      <c r="D57" s="2">
        <v>395</v>
      </c>
      <c r="E57" s="2">
        <v>370971</v>
      </c>
      <c r="F57" s="2">
        <v>3.86</v>
      </c>
      <c r="G57" s="2">
        <v>12646</v>
      </c>
    </row>
    <row r="58" spans="1:7" ht="15.75" customHeight="1" x14ac:dyDescent="0.25">
      <c r="A58" s="4">
        <v>45544</v>
      </c>
      <c r="B58" s="2" t="s">
        <v>30</v>
      </c>
      <c r="C58" s="2">
        <v>1592</v>
      </c>
      <c r="D58" s="2">
        <v>20</v>
      </c>
      <c r="E58" s="2">
        <v>378054</v>
      </c>
      <c r="F58" s="2">
        <v>9.09</v>
      </c>
      <c r="G58" s="2">
        <v>26663</v>
      </c>
    </row>
    <row r="59" spans="1:7" ht="15.75" customHeight="1" x14ac:dyDescent="0.25">
      <c r="A59" s="4">
        <v>45544</v>
      </c>
      <c r="B59" s="2" t="s">
        <v>38</v>
      </c>
      <c r="C59" s="2">
        <v>1842</v>
      </c>
      <c r="D59" s="2">
        <v>414</v>
      </c>
      <c r="E59" s="2">
        <v>307524</v>
      </c>
      <c r="F59" s="2">
        <v>1.76</v>
      </c>
      <c r="G59" s="2">
        <v>40478</v>
      </c>
    </row>
    <row r="60" spans="1:7" ht="15.75" customHeight="1" x14ac:dyDescent="0.25">
      <c r="A60" s="4">
        <v>45544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2">
        <v>15476</v>
      </c>
    </row>
    <row r="61" spans="1:7" ht="15.75" customHeight="1" x14ac:dyDescent="0.25">
      <c r="A61" s="4">
        <v>45544</v>
      </c>
      <c r="B61" s="2" t="s">
        <v>25</v>
      </c>
      <c r="C61" s="2">
        <v>1409</v>
      </c>
      <c r="D61" s="2">
        <v>309</v>
      </c>
      <c r="E61" s="2">
        <v>64583</v>
      </c>
      <c r="F61" s="2">
        <v>8.99</v>
      </c>
      <c r="G61" s="2">
        <v>10217</v>
      </c>
    </row>
    <row r="62" spans="1:7" ht="15.75" customHeight="1" x14ac:dyDescent="0.25">
      <c r="A62" s="4">
        <v>45551</v>
      </c>
      <c r="B62" s="2" t="s">
        <v>30</v>
      </c>
      <c r="C62" s="2">
        <v>778</v>
      </c>
      <c r="D62" s="2">
        <v>401</v>
      </c>
      <c r="E62" s="2">
        <v>50793</v>
      </c>
      <c r="F62" s="2">
        <v>3.4</v>
      </c>
      <c r="G62" s="2">
        <v>21939</v>
      </c>
    </row>
    <row r="63" spans="1:7" ht="15.75" customHeight="1" x14ac:dyDescent="0.25">
      <c r="A63" s="4">
        <v>45551</v>
      </c>
      <c r="B63" s="2" t="s">
        <v>38</v>
      </c>
      <c r="C63" s="2">
        <v>443</v>
      </c>
      <c r="D63" s="2">
        <v>345</v>
      </c>
      <c r="E63" s="2">
        <v>474162</v>
      </c>
      <c r="F63" s="2">
        <v>9.1999999999999993</v>
      </c>
      <c r="G63" s="2">
        <v>47462</v>
      </c>
    </row>
    <row r="64" spans="1:7" ht="15.75" customHeight="1" x14ac:dyDescent="0.25">
      <c r="A64" s="4">
        <v>45551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2">
        <v>30270</v>
      </c>
    </row>
    <row r="65" spans="1:7" ht="15.75" customHeight="1" x14ac:dyDescent="0.25">
      <c r="A65" s="4">
        <v>45551</v>
      </c>
      <c r="B65" s="2" t="s">
        <v>25</v>
      </c>
      <c r="C65" s="2">
        <v>123</v>
      </c>
      <c r="D65" s="2">
        <v>155</v>
      </c>
      <c r="E65" s="2">
        <v>119934</v>
      </c>
      <c r="F65" s="2">
        <v>3.5</v>
      </c>
      <c r="G65" s="2">
        <v>5442</v>
      </c>
    </row>
    <row r="66" spans="1:7" ht="15.75" customHeight="1" x14ac:dyDescent="0.25">
      <c r="A66" s="4">
        <v>45558</v>
      </c>
      <c r="B66" s="2" t="s">
        <v>30</v>
      </c>
      <c r="C66" s="2">
        <v>817</v>
      </c>
      <c r="D66" s="2">
        <v>151</v>
      </c>
      <c r="E66" s="2">
        <v>422625</v>
      </c>
      <c r="F66" s="2">
        <v>2.36</v>
      </c>
      <c r="G66" s="2">
        <v>1083</v>
      </c>
    </row>
    <row r="67" spans="1:7" ht="15.75" customHeight="1" x14ac:dyDescent="0.25">
      <c r="A67" s="4">
        <v>45558</v>
      </c>
      <c r="B67" s="2" t="s">
        <v>38</v>
      </c>
      <c r="C67" s="2">
        <v>198</v>
      </c>
      <c r="D67" s="2">
        <v>217</v>
      </c>
      <c r="E67" s="2">
        <v>239753</v>
      </c>
      <c r="F67" s="2">
        <v>7.36</v>
      </c>
      <c r="G67" s="2">
        <v>11901</v>
      </c>
    </row>
    <row r="68" spans="1:7" ht="15.75" customHeight="1" x14ac:dyDescent="0.25">
      <c r="A68" s="4">
        <v>45558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2">
        <v>24018</v>
      </c>
    </row>
    <row r="69" spans="1:7" ht="15.75" customHeight="1" x14ac:dyDescent="0.25">
      <c r="A69" s="4">
        <v>45558</v>
      </c>
      <c r="B69" s="2" t="s">
        <v>25</v>
      </c>
      <c r="C69" s="2">
        <v>1218</v>
      </c>
      <c r="D69" s="2">
        <v>212</v>
      </c>
      <c r="E69" s="2">
        <v>63177</v>
      </c>
      <c r="F69" s="2">
        <v>8.1300000000000008</v>
      </c>
      <c r="G69" s="2">
        <v>38883</v>
      </c>
    </row>
    <row r="70" spans="1:7" ht="15.75" customHeight="1" x14ac:dyDescent="0.25">
      <c r="A70" s="4">
        <v>45565</v>
      </c>
      <c r="B70" s="2" t="s">
        <v>30</v>
      </c>
      <c r="C70" s="2">
        <v>1433</v>
      </c>
      <c r="D70" s="2">
        <v>408</v>
      </c>
      <c r="E70" s="2">
        <v>370269</v>
      </c>
      <c r="F70" s="2">
        <v>3.3</v>
      </c>
      <c r="G70" s="2">
        <v>30575</v>
      </c>
    </row>
    <row r="71" spans="1:7" ht="15.75" customHeight="1" x14ac:dyDescent="0.25">
      <c r="A71" s="4">
        <v>45565</v>
      </c>
      <c r="B71" s="2" t="s">
        <v>38</v>
      </c>
      <c r="C71" s="2">
        <v>250</v>
      </c>
      <c r="D71" s="2">
        <v>429</v>
      </c>
      <c r="E71" s="2">
        <v>453423</v>
      </c>
      <c r="F71" s="2">
        <v>1.77</v>
      </c>
      <c r="G71" s="2">
        <v>2315</v>
      </c>
    </row>
    <row r="72" spans="1:7" ht="15.75" customHeight="1" x14ac:dyDescent="0.25">
      <c r="A72" s="4">
        <v>45565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2">
        <v>12148</v>
      </c>
    </row>
    <row r="73" spans="1:7" ht="15.75" customHeight="1" x14ac:dyDescent="0.25">
      <c r="A73" s="4">
        <v>45565</v>
      </c>
      <c r="B73" s="2" t="s">
        <v>25</v>
      </c>
      <c r="C73" s="2">
        <v>1918</v>
      </c>
      <c r="D73" s="2">
        <v>212</v>
      </c>
      <c r="E73" s="2">
        <v>94360</v>
      </c>
      <c r="F73" s="2">
        <v>7.36</v>
      </c>
      <c r="G73" s="2">
        <v>36851</v>
      </c>
    </row>
    <row r="74" spans="1:7" ht="15.75" customHeight="1" x14ac:dyDescent="0.25">
      <c r="A74" s="4">
        <v>45572</v>
      </c>
      <c r="B74" s="2" t="s">
        <v>30</v>
      </c>
      <c r="C74" s="2">
        <v>1939</v>
      </c>
      <c r="D74" s="2">
        <v>67</v>
      </c>
      <c r="E74" s="2">
        <v>187183</v>
      </c>
      <c r="F74" s="2">
        <v>6.25</v>
      </c>
      <c r="G74" s="2">
        <v>41215</v>
      </c>
    </row>
    <row r="75" spans="1:7" ht="15.75" customHeight="1" x14ac:dyDescent="0.25">
      <c r="A75" s="4">
        <v>45572</v>
      </c>
      <c r="B75" s="2" t="s">
        <v>38</v>
      </c>
      <c r="C75" s="2">
        <v>1929</v>
      </c>
      <c r="D75" s="2">
        <v>267</v>
      </c>
      <c r="E75" s="2">
        <v>379363</v>
      </c>
      <c r="F75" s="2">
        <v>1.75</v>
      </c>
      <c r="G75" s="2">
        <v>43836</v>
      </c>
    </row>
    <row r="76" spans="1:7" ht="15.75" customHeight="1" x14ac:dyDescent="0.25">
      <c r="A76" s="4">
        <v>45572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2">
        <v>4509</v>
      </c>
    </row>
    <row r="77" spans="1:7" ht="15.75" customHeight="1" x14ac:dyDescent="0.25">
      <c r="A77" s="4">
        <v>45572</v>
      </c>
      <c r="B77" s="2" t="s">
        <v>25</v>
      </c>
      <c r="C77" s="2">
        <v>307</v>
      </c>
      <c r="D77" s="2">
        <v>189</v>
      </c>
      <c r="E77" s="2">
        <v>117767</v>
      </c>
      <c r="F77" s="2">
        <v>9.3000000000000007</v>
      </c>
      <c r="G77" s="2">
        <v>27822</v>
      </c>
    </row>
    <row r="78" spans="1:7" ht="15.75" customHeight="1" x14ac:dyDescent="0.25">
      <c r="A78" s="4">
        <v>45579</v>
      </c>
      <c r="B78" s="2" t="s">
        <v>30</v>
      </c>
      <c r="C78" s="2">
        <v>1527</v>
      </c>
      <c r="D78" s="2">
        <v>303</v>
      </c>
      <c r="E78" s="2">
        <v>388555</v>
      </c>
      <c r="F78" s="2">
        <v>8.9</v>
      </c>
      <c r="G78" s="2">
        <v>36397</v>
      </c>
    </row>
    <row r="79" spans="1:7" ht="15.75" customHeight="1" x14ac:dyDescent="0.25">
      <c r="A79" s="4">
        <v>45579</v>
      </c>
      <c r="B79" s="2" t="s">
        <v>38</v>
      </c>
      <c r="C79" s="2">
        <v>643</v>
      </c>
      <c r="D79" s="2">
        <v>358</v>
      </c>
      <c r="E79" s="2">
        <v>157599</v>
      </c>
      <c r="F79" s="2">
        <v>3.88</v>
      </c>
      <c r="G79" s="2">
        <v>7285</v>
      </c>
    </row>
    <row r="80" spans="1:7" ht="15.75" customHeight="1" x14ac:dyDescent="0.25">
      <c r="A80" s="4">
        <v>45579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2">
        <v>33174</v>
      </c>
    </row>
    <row r="81" spans="1:7" ht="15.75" customHeight="1" x14ac:dyDescent="0.25">
      <c r="A81" s="4">
        <v>45579</v>
      </c>
      <c r="B81" s="2" t="s">
        <v>25</v>
      </c>
      <c r="C81" s="2">
        <v>414</v>
      </c>
      <c r="D81" s="2">
        <v>47</v>
      </c>
      <c r="E81" s="2">
        <v>199178</v>
      </c>
      <c r="F81" s="2">
        <v>1.53</v>
      </c>
      <c r="G81" s="2">
        <v>6742</v>
      </c>
    </row>
    <row r="82" spans="1:7" ht="15.75" customHeight="1" x14ac:dyDescent="0.25">
      <c r="A82" s="4">
        <v>45586</v>
      </c>
      <c r="B82" s="2" t="s">
        <v>30</v>
      </c>
      <c r="C82" s="2">
        <v>703</v>
      </c>
      <c r="D82" s="2">
        <v>441</v>
      </c>
      <c r="E82" s="2">
        <v>357089</v>
      </c>
      <c r="F82" s="2">
        <v>6.5</v>
      </c>
      <c r="G82" s="2">
        <v>32478</v>
      </c>
    </row>
    <row r="83" spans="1:7" ht="15.75" customHeight="1" x14ac:dyDescent="0.25">
      <c r="A83" s="4">
        <v>45586</v>
      </c>
      <c r="B83" s="2" t="s">
        <v>38</v>
      </c>
      <c r="C83" s="2">
        <v>508</v>
      </c>
      <c r="D83" s="2">
        <v>69</v>
      </c>
      <c r="E83" s="2">
        <v>23492</v>
      </c>
      <c r="F83" s="2">
        <v>3.16</v>
      </c>
      <c r="G83" s="2">
        <v>42824</v>
      </c>
    </row>
    <row r="84" spans="1:7" ht="15.75" customHeight="1" x14ac:dyDescent="0.25">
      <c r="A84" s="4">
        <v>45586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2">
        <v>21208</v>
      </c>
    </row>
    <row r="85" spans="1:7" ht="15.75" customHeight="1" x14ac:dyDescent="0.25">
      <c r="A85" s="4">
        <v>45586</v>
      </c>
      <c r="B85" s="2" t="s">
        <v>25</v>
      </c>
      <c r="C85" s="2">
        <v>1707</v>
      </c>
      <c r="D85" s="2">
        <v>223</v>
      </c>
      <c r="E85" s="2">
        <v>256910</v>
      </c>
      <c r="F85" s="2">
        <v>5.41</v>
      </c>
      <c r="G85" s="2">
        <v>44321</v>
      </c>
    </row>
    <row r="86" spans="1:7" ht="15.75" customHeight="1" x14ac:dyDescent="0.25">
      <c r="A86" s="4">
        <v>45593</v>
      </c>
      <c r="B86" s="2" t="s">
        <v>30</v>
      </c>
      <c r="C86" s="2">
        <v>642</v>
      </c>
      <c r="D86" s="2">
        <v>66</v>
      </c>
      <c r="E86" s="2">
        <v>346522</v>
      </c>
      <c r="F86" s="2">
        <v>5.85</v>
      </c>
      <c r="G86" s="2">
        <v>13116</v>
      </c>
    </row>
    <row r="87" spans="1:7" ht="15.75" customHeight="1" x14ac:dyDescent="0.25">
      <c r="A87" s="4">
        <v>45593</v>
      </c>
      <c r="B87" s="2" t="s">
        <v>38</v>
      </c>
      <c r="C87" s="2">
        <v>859</v>
      </c>
      <c r="D87" s="2">
        <v>473</v>
      </c>
      <c r="E87" s="2">
        <v>209987</v>
      </c>
      <c r="F87" s="2">
        <v>4.46</v>
      </c>
      <c r="G87" s="2">
        <v>30214</v>
      </c>
    </row>
    <row r="88" spans="1:7" ht="15.75" customHeight="1" x14ac:dyDescent="0.25">
      <c r="A88" s="4">
        <v>45593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2">
        <v>15827</v>
      </c>
    </row>
    <row r="89" spans="1:7" ht="15.75" customHeight="1" x14ac:dyDescent="0.25">
      <c r="A89" s="4">
        <v>45593</v>
      </c>
      <c r="B89" s="2" t="s">
        <v>25</v>
      </c>
      <c r="C89" s="2">
        <v>1814</v>
      </c>
      <c r="D89" s="2">
        <v>157</v>
      </c>
      <c r="E89" s="2">
        <v>305827</v>
      </c>
      <c r="F89" s="2">
        <v>1.99</v>
      </c>
      <c r="G89" s="2">
        <v>46643</v>
      </c>
    </row>
    <row r="90" spans="1:7" ht="15.75" customHeight="1" x14ac:dyDescent="0.25">
      <c r="A90" s="4">
        <v>45600</v>
      </c>
      <c r="B90" s="2" t="s">
        <v>30</v>
      </c>
      <c r="C90" s="2">
        <v>1466</v>
      </c>
      <c r="D90" s="2">
        <v>69</v>
      </c>
      <c r="E90" s="2">
        <v>54935</v>
      </c>
      <c r="F90" s="2">
        <v>6.85</v>
      </c>
      <c r="G90" s="2">
        <v>36484</v>
      </c>
    </row>
    <row r="91" spans="1:7" ht="15.75" customHeight="1" x14ac:dyDescent="0.25">
      <c r="A91" s="4">
        <v>45600</v>
      </c>
      <c r="B91" s="2" t="s">
        <v>38</v>
      </c>
      <c r="C91" s="2">
        <v>947</v>
      </c>
      <c r="D91" s="2">
        <v>407</v>
      </c>
      <c r="E91" s="2">
        <v>319186</v>
      </c>
      <c r="F91" s="2">
        <v>3.32</v>
      </c>
      <c r="G91" s="2">
        <v>4996</v>
      </c>
    </row>
    <row r="92" spans="1:7" ht="15.75" customHeight="1" x14ac:dyDescent="0.25">
      <c r="A92" s="4">
        <v>45600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2">
        <v>36095</v>
      </c>
    </row>
    <row r="93" spans="1:7" ht="15.75" customHeight="1" x14ac:dyDescent="0.25">
      <c r="A93" s="4">
        <v>45600</v>
      </c>
      <c r="B93" s="2" t="s">
        <v>25</v>
      </c>
      <c r="C93" s="2">
        <v>1507</v>
      </c>
      <c r="D93" s="2">
        <v>463</v>
      </c>
      <c r="E93" s="2">
        <v>258944</v>
      </c>
      <c r="F93" s="2">
        <v>6.08</v>
      </c>
      <c r="G93" s="2">
        <v>16443</v>
      </c>
    </row>
    <row r="94" spans="1:7" ht="15.75" customHeight="1" x14ac:dyDescent="0.25">
      <c r="A94" s="4">
        <v>45607</v>
      </c>
      <c r="B94" s="2" t="s">
        <v>30</v>
      </c>
      <c r="C94" s="2">
        <v>1075</v>
      </c>
      <c r="D94" s="2">
        <v>173</v>
      </c>
      <c r="E94" s="2">
        <v>51395</v>
      </c>
      <c r="F94" s="2">
        <v>4.66</v>
      </c>
      <c r="G94" s="2">
        <v>47812</v>
      </c>
    </row>
    <row r="95" spans="1:7" ht="15.75" customHeight="1" x14ac:dyDescent="0.25">
      <c r="A95" s="4">
        <v>45607</v>
      </c>
      <c r="B95" s="2" t="s">
        <v>38</v>
      </c>
      <c r="C95" s="2">
        <v>171</v>
      </c>
      <c r="D95" s="2">
        <v>277</v>
      </c>
      <c r="E95" s="2">
        <v>309483</v>
      </c>
      <c r="F95" s="2">
        <v>8.6999999999999993</v>
      </c>
      <c r="G95" s="2">
        <v>38452</v>
      </c>
    </row>
    <row r="96" spans="1:7" ht="15.75" customHeight="1" x14ac:dyDescent="0.25">
      <c r="A96" s="4">
        <v>45607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2">
        <v>30428</v>
      </c>
    </row>
    <row r="97" spans="1:7" ht="15.75" customHeight="1" x14ac:dyDescent="0.25">
      <c r="A97" s="4">
        <v>45607</v>
      </c>
      <c r="B97" s="2" t="s">
        <v>25</v>
      </c>
      <c r="C97" s="2">
        <v>454</v>
      </c>
      <c r="D97" s="2">
        <v>105</v>
      </c>
      <c r="E97" s="2">
        <v>121091</v>
      </c>
      <c r="F97" s="2">
        <v>7.97</v>
      </c>
      <c r="G97" s="2">
        <v>9269</v>
      </c>
    </row>
    <row r="98" spans="1:7" ht="15.75" customHeight="1" x14ac:dyDescent="0.25">
      <c r="A98" s="4">
        <v>45614</v>
      </c>
      <c r="B98" s="2" t="s">
        <v>30</v>
      </c>
      <c r="C98" s="2">
        <v>187</v>
      </c>
      <c r="D98" s="2">
        <v>236</v>
      </c>
      <c r="E98" s="2">
        <v>51087</v>
      </c>
      <c r="F98" s="2">
        <v>9.41</v>
      </c>
      <c r="G98" s="2">
        <v>29533</v>
      </c>
    </row>
    <row r="99" spans="1:7" ht="15.75" customHeight="1" x14ac:dyDescent="0.25">
      <c r="A99" s="4">
        <v>45614</v>
      </c>
      <c r="B99" s="2" t="s">
        <v>38</v>
      </c>
      <c r="C99" s="2">
        <v>513</v>
      </c>
      <c r="D99" s="2">
        <v>441</v>
      </c>
      <c r="E99" s="2">
        <v>338847</v>
      </c>
      <c r="F99" s="2">
        <v>2.68</v>
      </c>
      <c r="G99" s="2">
        <v>39997</v>
      </c>
    </row>
    <row r="100" spans="1:7" ht="15.75" customHeight="1" x14ac:dyDescent="0.25">
      <c r="A100" s="4">
        <v>45614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2">
        <v>5391</v>
      </c>
    </row>
    <row r="101" spans="1:7" ht="15.75" customHeight="1" x14ac:dyDescent="0.25">
      <c r="A101" s="4">
        <v>45614</v>
      </c>
      <c r="B101" s="2" t="s">
        <v>25</v>
      </c>
      <c r="C101" s="2">
        <v>278</v>
      </c>
      <c r="D101" s="2">
        <v>218</v>
      </c>
      <c r="E101" s="2">
        <v>301695</v>
      </c>
      <c r="F101" s="2">
        <v>4.68</v>
      </c>
      <c r="G101" s="2">
        <v>22373</v>
      </c>
    </row>
    <row r="102" spans="1:7" ht="15.75" customHeight="1" x14ac:dyDescent="0.25">
      <c r="A102" s="4">
        <v>45621</v>
      </c>
      <c r="B102" s="2" t="s">
        <v>30</v>
      </c>
      <c r="C102" s="2">
        <v>1854</v>
      </c>
      <c r="D102" s="2">
        <v>161</v>
      </c>
      <c r="E102" s="2">
        <v>282466</v>
      </c>
      <c r="F102" s="2">
        <v>5.17</v>
      </c>
      <c r="G102" s="2">
        <v>1810</v>
      </c>
    </row>
    <row r="103" spans="1:7" ht="15.75" customHeight="1" x14ac:dyDescent="0.25">
      <c r="A103" s="4">
        <v>45621</v>
      </c>
      <c r="B103" s="2" t="s">
        <v>38</v>
      </c>
      <c r="C103" s="2">
        <v>1710</v>
      </c>
      <c r="D103" s="2">
        <v>378</v>
      </c>
      <c r="E103" s="2">
        <v>336661</v>
      </c>
      <c r="F103" s="2">
        <v>6.2</v>
      </c>
      <c r="G103" s="2">
        <v>28498</v>
      </c>
    </row>
    <row r="104" spans="1:7" ht="15.75" customHeight="1" x14ac:dyDescent="0.25">
      <c r="A104" s="4">
        <v>45621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2">
        <v>39530</v>
      </c>
    </row>
    <row r="105" spans="1:7" ht="15.75" customHeight="1" x14ac:dyDescent="0.25">
      <c r="A105" s="4">
        <v>45621</v>
      </c>
      <c r="B105" s="2" t="s">
        <v>25</v>
      </c>
      <c r="C105" s="2">
        <v>1293</v>
      </c>
      <c r="D105" s="2">
        <v>408</v>
      </c>
      <c r="E105" s="2">
        <v>62535</v>
      </c>
      <c r="F105" s="2">
        <v>8.9</v>
      </c>
      <c r="G105" s="2">
        <v>37876</v>
      </c>
    </row>
    <row r="106" spans="1:7" ht="15.75" customHeight="1" x14ac:dyDescent="0.25">
      <c r="A106" s="4">
        <v>45628</v>
      </c>
      <c r="B106" s="2" t="s">
        <v>30</v>
      </c>
      <c r="C106" s="2">
        <v>1696</v>
      </c>
      <c r="D106" s="2">
        <v>71</v>
      </c>
      <c r="E106" s="2">
        <v>421957</v>
      </c>
      <c r="F106" s="2">
        <v>3.79</v>
      </c>
      <c r="G106" s="2">
        <v>36103</v>
      </c>
    </row>
    <row r="107" spans="1:7" ht="15.75" customHeight="1" x14ac:dyDescent="0.25">
      <c r="A107" s="4">
        <v>45628</v>
      </c>
      <c r="B107" s="2" t="s">
        <v>38</v>
      </c>
      <c r="C107" s="2">
        <v>1902</v>
      </c>
      <c r="D107" s="2">
        <v>196</v>
      </c>
      <c r="E107" s="2">
        <v>470269</v>
      </c>
      <c r="F107" s="2">
        <v>4.79</v>
      </c>
      <c r="G107" s="2">
        <v>26103</v>
      </c>
    </row>
    <row r="108" spans="1:7" ht="15.75" customHeight="1" x14ac:dyDescent="0.25">
      <c r="A108" s="4">
        <v>45628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2">
        <v>3455</v>
      </c>
    </row>
    <row r="109" spans="1:7" ht="15.75" customHeight="1" x14ac:dyDescent="0.25">
      <c r="A109" s="4">
        <v>45628</v>
      </c>
      <c r="B109" s="2" t="s">
        <v>25</v>
      </c>
      <c r="C109" s="2">
        <v>452</v>
      </c>
      <c r="D109" s="2">
        <v>161</v>
      </c>
      <c r="E109" s="2">
        <v>221274</v>
      </c>
      <c r="F109" s="2">
        <v>2.65</v>
      </c>
      <c r="G109" s="2">
        <v>40888</v>
      </c>
    </row>
    <row r="110" spans="1:7" ht="15.75" customHeight="1" x14ac:dyDescent="0.25">
      <c r="A110" s="4">
        <v>45635</v>
      </c>
      <c r="B110" s="2" t="s">
        <v>30</v>
      </c>
      <c r="C110" s="2">
        <v>1494</v>
      </c>
      <c r="D110" s="2">
        <v>375</v>
      </c>
      <c r="E110" s="2">
        <v>220616</v>
      </c>
      <c r="F110" s="2">
        <v>1.81</v>
      </c>
      <c r="G110" s="2">
        <v>22724</v>
      </c>
    </row>
    <row r="111" spans="1:7" ht="15.75" customHeight="1" x14ac:dyDescent="0.25">
      <c r="A111" s="4">
        <v>45635</v>
      </c>
      <c r="B111" s="2" t="s">
        <v>38</v>
      </c>
      <c r="C111" s="2">
        <v>1514</v>
      </c>
      <c r="D111" s="2">
        <v>141</v>
      </c>
      <c r="E111" s="2">
        <v>35842</v>
      </c>
      <c r="F111" s="2">
        <v>7.47</v>
      </c>
      <c r="G111" s="2">
        <v>18601</v>
      </c>
    </row>
    <row r="112" spans="1:7" ht="15.75" customHeight="1" x14ac:dyDescent="0.25">
      <c r="A112" s="4">
        <v>45635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2">
        <v>20861</v>
      </c>
    </row>
    <row r="113" spans="1:7" ht="15.75" customHeight="1" x14ac:dyDescent="0.25">
      <c r="A113" s="4">
        <v>45635</v>
      </c>
      <c r="B113" s="2" t="s">
        <v>25</v>
      </c>
      <c r="C113" s="2">
        <v>736</v>
      </c>
      <c r="D113" s="2">
        <v>163</v>
      </c>
      <c r="E113" s="2">
        <v>451894</v>
      </c>
      <c r="F113" s="2">
        <v>5.43</v>
      </c>
      <c r="G113" s="2">
        <v>46625</v>
      </c>
    </row>
    <row r="114" spans="1:7" ht="15.75" customHeight="1" x14ac:dyDescent="0.25">
      <c r="A114" s="4">
        <v>45642</v>
      </c>
      <c r="B114" s="2" t="s">
        <v>30</v>
      </c>
      <c r="C114" s="2">
        <v>1502</v>
      </c>
      <c r="D114" s="2">
        <v>70</v>
      </c>
      <c r="E114" s="2">
        <v>465553</v>
      </c>
      <c r="F114" s="2">
        <v>3.32</v>
      </c>
      <c r="G114" s="2">
        <v>20692</v>
      </c>
    </row>
    <row r="115" spans="1:7" ht="15.75" customHeight="1" x14ac:dyDescent="0.25">
      <c r="A115" s="4">
        <v>45642</v>
      </c>
      <c r="B115" s="2" t="s">
        <v>38</v>
      </c>
      <c r="C115" s="2">
        <v>1623</v>
      </c>
      <c r="D115" s="2">
        <v>246</v>
      </c>
      <c r="E115" s="2">
        <v>415815</v>
      </c>
      <c r="F115" s="2">
        <v>8.11</v>
      </c>
      <c r="G115" s="2">
        <v>18656</v>
      </c>
    </row>
    <row r="116" spans="1:7" ht="15.75" customHeight="1" x14ac:dyDescent="0.25">
      <c r="A116" s="4">
        <v>45642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2">
        <v>13316</v>
      </c>
    </row>
    <row r="117" spans="1:7" ht="15.75" customHeight="1" x14ac:dyDescent="0.25">
      <c r="A117" s="4">
        <v>45642</v>
      </c>
      <c r="B117" s="2" t="s">
        <v>25</v>
      </c>
      <c r="C117" s="2">
        <v>1004</v>
      </c>
      <c r="D117" s="2">
        <v>128</v>
      </c>
      <c r="E117" s="2">
        <v>488901</v>
      </c>
      <c r="F117" s="2">
        <v>8.09</v>
      </c>
      <c r="G117" s="2">
        <v>49558</v>
      </c>
    </row>
    <row r="118" spans="1:7" ht="15.75" customHeight="1" x14ac:dyDescent="0.25">
      <c r="A118" s="4">
        <v>45649</v>
      </c>
      <c r="B118" s="2" t="s">
        <v>30</v>
      </c>
      <c r="C118" s="2">
        <v>1092</v>
      </c>
      <c r="D118" s="2">
        <v>408</v>
      </c>
      <c r="E118" s="2">
        <v>280795</v>
      </c>
      <c r="F118" s="2">
        <v>8.44</v>
      </c>
      <c r="G118" s="2">
        <v>4683</v>
      </c>
    </row>
    <row r="119" spans="1:7" ht="15.75" customHeight="1" x14ac:dyDescent="0.25">
      <c r="A119" s="4">
        <v>45649</v>
      </c>
      <c r="B119" s="2" t="s">
        <v>38</v>
      </c>
      <c r="C119" s="2">
        <v>1155</v>
      </c>
      <c r="D119" s="2">
        <v>425</v>
      </c>
      <c r="E119" s="2">
        <v>93347</v>
      </c>
      <c r="F119" s="2">
        <v>2.02</v>
      </c>
      <c r="G119" s="2">
        <v>47502</v>
      </c>
    </row>
    <row r="120" spans="1:7" ht="15.75" customHeight="1" x14ac:dyDescent="0.25">
      <c r="A120" s="4">
        <v>45649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2">
        <v>35359</v>
      </c>
    </row>
    <row r="121" spans="1:7" ht="15.75" customHeight="1" x14ac:dyDescent="0.25">
      <c r="A121" s="4">
        <v>45649</v>
      </c>
      <c r="B121" s="2" t="s">
        <v>25</v>
      </c>
      <c r="C121" s="2">
        <v>1900</v>
      </c>
      <c r="D121" s="2">
        <v>311</v>
      </c>
      <c r="E121" s="2">
        <v>25177</v>
      </c>
      <c r="F121" s="2">
        <v>2.89</v>
      </c>
      <c r="G121" s="2">
        <v>14154</v>
      </c>
    </row>
    <row r="122" spans="1:7" ht="15.75" customHeight="1" x14ac:dyDescent="0.25">
      <c r="A122" s="4">
        <v>45656</v>
      </c>
      <c r="B122" s="2" t="s">
        <v>30</v>
      </c>
      <c r="C122" s="2">
        <v>1814</v>
      </c>
      <c r="D122" s="2">
        <v>49</v>
      </c>
      <c r="E122" s="2">
        <v>140804</v>
      </c>
      <c r="F122" s="2">
        <v>1.76</v>
      </c>
      <c r="G122" s="2">
        <v>4313</v>
      </c>
    </row>
    <row r="123" spans="1:7" ht="15.75" customHeight="1" x14ac:dyDescent="0.25">
      <c r="A123" s="4">
        <v>45656</v>
      </c>
      <c r="B123" s="2" t="s">
        <v>38</v>
      </c>
      <c r="C123" s="2">
        <v>1980</v>
      </c>
      <c r="D123" s="2">
        <v>204</v>
      </c>
      <c r="E123" s="2">
        <v>379431</v>
      </c>
      <c r="F123" s="2">
        <v>3.09</v>
      </c>
      <c r="G123" s="2">
        <v>25140</v>
      </c>
    </row>
    <row r="124" spans="1:7" ht="15.75" customHeight="1" x14ac:dyDescent="0.25">
      <c r="A124" s="4">
        <v>45656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2">
        <v>9118</v>
      </c>
    </row>
    <row r="125" spans="1:7" ht="15.75" customHeight="1" x14ac:dyDescent="0.25">
      <c r="A125" s="4">
        <v>45656</v>
      </c>
      <c r="B125" s="2" t="s">
        <v>25</v>
      </c>
      <c r="C125" s="2">
        <v>1495</v>
      </c>
      <c r="D125" s="2">
        <v>35</v>
      </c>
      <c r="E125" s="2">
        <v>136845</v>
      </c>
      <c r="F125" s="2">
        <v>4.4800000000000004</v>
      </c>
      <c r="G125" s="2">
        <v>39931</v>
      </c>
    </row>
    <row r="126" spans="1:7" ht="15.75" customHeight="1" x14ac:dyDescent="0.25">
      <c r="A126" s="4">
        <v>45663</v>
      </c>
      <c r="B126" s="2" t="s">
        <v>30</v>
      </c>
      <c r="C126" s="2">
        <v>1013</v>
      </c>
      <c r="D126" s="2">
        <v>110</v>
      </c>
      <c r="E126" s="2">
        <v>466382</v>
      </c>
      <c r="F126" s="2">
        <v>5.3</v>
      </c>
      <c r="G126" s="2">
        <v>37132</v>
      </c>
    </row>
    <row r="127" spans="1:7" ht="15.75" customHeight="1" x14ac:dyDescent="0.25">
      <c r="A127" s="4">
        <v>45663</v>
      </c>
      <c r="B127" s="2" t="s">
        <v>38</v>
      </c>
      <c r="C127" s="2">
        <v>816</v>
      </c>
      <c r="D127" s="2">
        <v>196</v>
      </c>
      <c r="E127" s="2">
        <v>95728</v>
      </c>
      <c r="F127" s="2">
        <v>8.1999999999999993</v>
      </c>
      <c r="G127" s="2">
        <v>17951</v>
      </c>
    </row>
    <row r="128" spans="1:7" ht="15.75" customHeight="1" x14ac:dyDescent="0.25">
      <c r="A128" s="4">
        <v>45663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2">
        <v>2798</v>
      </c>
    </row>
    <row r="129" spans="1:7" ht="15.75" customHeight="1" x14ac:dyDescent="0.25">
      <c r="A129" s="4">
        <v>45663</v>
      </c>
      <c r="B129" s="2" t="s">
        <v>25</v>
      </c>
      <c r="C129" s="2">
        <v>891</v>
      </c>
      <c r="D129" s="2">
        <v>45</v>
      </c>
      <c r="E129" s="2">
        <v>95410</v>
      </c>
      <c r="F129" s="2">
        <v>8.33</v>
      </c>
      <c r="G129" s="2">
        <v>15045</v>
      </c>
    </row>
    <row r="130" spans="1:7" ht="15.75" customHeight="1" x14ac:dyDescent="0.25">
      <c r="A130" s="4">
        <v>45670</v>
      </c>
      <c r="B130" s="2" t="s">
        <v>30</v>
      </c>
      <c r="C130" s="2">
        <v>1855</v>
      </c>
      <c r="D130" s="2">
        <v>133</v>
      </c>
      <c r="E130" s="2">
        <v>349413</v>
      </c>
      <c r="F130" s="2">
        <v>3.3</v>
      </c>
      <c r="G130" s="2">
        <v>14548</v>
      </c>
    </row>
    <row r="131" spans="1:7" ht="15.75" customHeight="1" x14ac:dyDescent="0.25">
      <c r="A131" s="4">
        <v>45670</v>
      </c>
      <c r="B131" s="2" t="s">
        <v>38</v>
      </c>
      <c r="C131" s="2">
        <v>651</v>
      </c>
      <c r="D131" s="2">
        <v>353</v>
      </c>
      <c r="E131" s="2">
        <v>224699</v>
      </c>
      <c r="F131" s="2">
        <v>5.61</v>
      </c>
      <c r="G131" s="2">
        <v>45708</v>
      </c>
    </row>
    <row r="132" spans="1:7" ht="15.75" customHeight="1" x14ac:dyDescent="0.25">
      <c r="A132" s="4">
        <v>45670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2">
        <v>12350</v>
      </c>
    </row>
    <row r="133" spans="1:7" ht="15.75" customHeight="1" x14ac:dyDescent="0.25">
      <c r="A133" s="4">
        <v>45670</v>
      </c>
      <c r="B133" s="2" t="s">
        <v>25</v>
      </c>
      <c r="C133" s="2">
        <v>1331</v>
      </c>
      <c r="D133" s="2">
        <v>430</v>
      </c>
      <c r="E133" s="2">
        <v>14437</v>
      </c>
      <c r="F133" s="2">
        <v>3.29</v>
      </c>
      <c r="G133" s="2">
        <v>40868</v>
      </c>
    </row>
    <row r="134" spans="1:7" ht="15.75" customHeight="1" x14ac:dyDescent="0.25">
      <c r="A134" s="4">
        <v>45677</v>
      </c>
      <c r="B134" s="2" t="s">
        <v>30</v>
      </c>
      <c r="C134" s="2">
        <v>1748</v>
      </c>
      <c r="D134" s="2">
        <v>176</v>
      </c>
      <c r="E134" s="2">
        <v>383681</v>
      </c>
      <c r="F134" s="2">
        <v>9.24</v>
      </c>
      <c r="G134" s="2">
        <v>43122</v>
      </c>
    </row>
    <row r="135" spans="1:7" ht="15.75" customHeight="1" x14ac:dyDescent="0.25">
      <c r="A135" s="4">
        <v>45677</v>
      </c>
      <c r="B135" s="2" t="s">
        <v>38</v>
      </c>
      <c r="C135" s="2">
        <v>663</v>
      </c>
      <c r="D135" s="2">
        <v>236</v>
      </c>
      <c r="E135" s="2">
        <v>479490</v>
      </c>
      <c r="F135" s="2">
        <v>4.51</v>
      </c>
      <c r="G135" s="2">
        <v>23853</v>
      </c>
    </row>
    <row r="136" spans="1:7" ht="15.75" customHeight="1" x14ac:dyDescent="0.25">
      <c r="A136" s="4">
        <v>45677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2">
        <v>45380</v>
      </c>
    </row>
    <row r="137" spans="1:7" ht="15.75" customHeight="1" x14ac:dyDescent="0.25">
      <c r="A137" s="4">
        <v>45677</v>
      </c>
      <c r="B137" s="2" t="s">
        <v>25</v>
      </c>
      <c r="C137" s="2">
        <v>1166</v>
      </c>
      <c r="D137" s="2">
        <v>442</v>
      </c>
      <c r="E137" s="2">
        <v>336949</v>
      </c>
      <c r="F137" s="2">
        <v>4.68</v>
      </c>
      <c r="G137" s="2">
        <v>7705</v>
      </c>
    </row>
    <row r="138" spans="1:7" ht="15.75" customHeight="1" x14ac:dyDescent="0.25">
      <c r="A138" s="4">
        <v>45684</v>
      </c>
      <c r="B138" s="2" t="s">
        <v>30</v>
      </c>
      <c r="C138" s="2">
        <v>115</v>
      </c>
      <c r="D138" s="2">
        <v>281</v>
      </c>
      <c r="E138" s="2">
        <v>357265</v>
      </c>
      <c r="F138" s="2">
        <v>9.23</v>
      </c>
      <c r="G138" s="2">
        <v>25525</v>
      </c>
    </row>
    <row r="139" spans="1:7" ht="15.75" customHeight="1" x14ac:dyDescent="0.25">
      <c r="A139" s="4">
        <v>45684</v>
      </c>
      <c r="B139" s="2" t="s">
        <v>38</v>
      </c>
      <c r="C139" s="2">
        <v>1249</v>
      </c>
      <c r="D139" s="2">
        <v>351</v>
      </c>
      <c r="E139" s="2">
        <v>321307</v>
      </c>
      <c r="F139" s="2">
        <v>6.37</v>
      </c>
      <c r="G139" s="2">
        <v>20560</v>
      </c>
    </row>
    <row r="140" spans="1:7" ht="15.75" customHeight="1" x14ac:dyDescent="0.25">
      <c r="A140" s="4">
        <v>45684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2">
        <v>19119</v>
      </c>
    </row>
    <row r="141" spans="1:7" ht="15.75" customHeight="1" x14ac:dyDescent="0.25">
      <c r="A141" s="4">
        <v>45684</v>
      </c>
      <c r="B141" s="2" t="s">
        <v>25</v>
      </c>
      <c r="C141" s="2">
        <v>1411</v>
      </c>
      <c r="D141" s="2">
        <v>186</v>
      </c>
      <c r="E141" s="2">
        <v>461669</v>
      </c>
      <c r="F141" s="2">
        <v>3.72</v>
      </c>
      <c r="G141" s="2">
        <v>43999</v>
      </c>
    </row>
    <row r="142" spans="1:7" ht="15.75" customHeight="1" x14ac:dyDescent="0.25">
      <c r="A142" s="4">
        <v>45691</v>
      </c>
      <c r="B142" s="2" t="s">
        <v>30</v>
      </c>
      <c r="C142" s="2">
        <v>1556</v>
      </c>
      <c r="D142" s="2">
        <v>476</v>
      </c>
      <c r="E142" s="2">
        <v>351556</v>
      </c>
      <c r="F142" s="2">
        <v>3.89</v>
      </c>
      <c r="G142" s="2">
        <v>10825</v>
      </c>
    </row>
    <row r="143" spans="1:7" ht="15.75" customHeight="1" x14ac:dyDescent="0.25">
      <c r="A143" s="4">
        <v>45691</v>
      </c>
      <c r="B143" s="2" t="s">
        <v>38</v>
      </c>
      <c r="C143" s="2">
        <v>1159</v>
      </c>
      <c r="D143" s="2">
        <v>411</v>
      </c>
      <c r="E143" s="2">
        <v>135987</v>
      </c>
      <c r="F143" s="2">
        <v>8.6999999999999993</v>
      </c>
      <c r="G143" s="2">
        <v>40323</v>
      </c>
    </row>
    <row r="144" spans="1:7" ht="15.75" customHeight="1" x14ac:dyDescent="0.25">
      <c r="A144" s="4">
        <v>45691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2">
        <v>48270</v>
      </c>
    </row>
    <row r="145" spans="1:7" ht="15.75" customHeight="1" x14ac:dyDescent="0.25">
      <c r="A145" s="4">
        <v>45691</v>
      </c>
      <c r="B145" s="2" t="s">
        <v>25</v>
      </c>
      <c r="C145" s="2">
        <v>152</v>
      </c>
      <c r="D145" s="2">
        <v>355</v>
      </c>
      <c r="E145" s="2">
        <v>270766</v>
      </c>
      <c r="F145" s="2">
        <v>9.48</v>
      </c>
      <c r="G145" s="2">
        <v>18001</v>
      </c>
    </row>
    <row r="146" spans="1:7" ht="15.75" customHeight="1" x14ac:dyDescent="0.25">
      <c r="A146" s="4">
        <v>45698</v>
      </c>
      <c r="B146" s="2" t="s">
        <v>30</v>
      </c>
      <c r="C146" s="2">
        <v>1957</v>
      </c>
      <c r="D146" s="2">
        <v>234</v>
      </c>
      <c r="E146" s="2">
        <v>222126</v>
      </c>
      <c r="F146" s="2">
        <v>4.6100000000000003</v>
      </c>
      <c r="G146" s="2">
        <v>3314</v>
      </c>
    </row>
    <row r="147" spans="1:7" ht="15.75" customHeight="1" x14ac:dyDescent="0.25">
      <c r="A147" s="4">
        <v>45698</v>
      </c>
      <c r="B147" s="2" t="s">
        <v>38</v>
      </c>
      <c r="C147" s="2">
        <v>1294</v>
      </c>
      <c r="D147" s="2">
        <v>382</v>
      </c>
      <c r="E147" s="2">
        <v>309914</v>
      </c>
      <c r="F147" s="2">
        <v>8.0299999999999994</v>
      </c>
      <c r="G147" s="2">
        <v>23489</v>
      </c>
    </row>
    <row r="148" spans="1:7" ht="15.75" customHeight="1" x14ac:dyDescent="0.25">
      <c r="A148" s="4">
        <v>45698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2">
        <v>42832</v>
      </c>
    </row>
    <row r="149" spans="1:7" ht="15.75" customHeight="1" x14ac:dyDescent="0.25">
      <c r="A149" s="4">
        <v>45698</v>
      </c>
      <c r="B149" s="2" t="s">
        <v>25</v>
      </c>
      <c r="C149" s="2">
        <v>1707</v>
      </c>
      <c r="D149" s="2">
        <v>263</v>
      </c>
      <c r="E149" s="2">
        <v>485280</v>
      </c>
      <c r="F149" s="2">
        <v>9.0299999999999994</v>
      </c>
      <c r="G149" s="2">
        <v>24494</v>
      </c>
    </row>
    <row r="150" spans="1:7" ht="15.75" customHeight="1" x14ac:dyDescent="0.25">
      <c r="A150" s="4">
        <v>45705</v>
      </c>
      <c r="B150" s="2" t="s">
        <v>30</v>
      </c>
      <c r="C150" s="2">
        <v>1138</v>
      </c>
      <c r="D150" s="2">
        <v>173</v>
      </c>
      <c r="E150" s="2">
        <v>453243</v>
      </c>
      <c r="F150" s="2">
        <v>2.86</v>
      </c>
      <c r="G150" s="2">
        <v>44097</v>
      </c>
    </row>
    <row r="151" spans="1:7" ht="15.75" customHeight="1" x14ac:dyDescent="0.25">
      <c r="A151" s="4">
        <v>45705</v>
      </c>
      <c r="B151" s="2" t="s">
        <v>38</v>
      </c>
      <c r="C151" s="2">
        <v>1895</v>
      </c>
      <c r="D151" s="2">
        <v>305</v>
      </c>
      <c r="E151" s="2">
        <v>104967</v>
      </c>
      <c r="F151" s="2">
        <v>3.85</v>
      </c>
      <c r="G151" s="2">
        <v>31853</v>
      </c>
    </row>
    <row r="152" spans="1:7" ht="15.75" customHeight="1" x14ac:dyDescent="0.25">
      <c r="A152" s="4">
        <v>45705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2">
        <v>37636</v>
      </c>
    </row>
    <row r="153" spans="1:7" ht="15.75" customHeight="1" x14ac:dyDescent="0.25">
      <c r="A153" s="4">
        <v>45705</v>
      </c>
      <c r="B153" s="2" t="s">
        <v>25</v>
      </c>
      <c r="C153" s="2">
        <v>1662</v>
      </c>
      <c r="D153" s="2">
        <v>487</v>
      </c>
      <c r="E153" s="2">
        <v>105980</v>
      </c>
      <c r="F153" s="2">
        <v>9.08</v>
      </c>
      <c r="G153" s="2">
        <v>22996</v>
      </c>
    </row>
    <row r="154" spans="1:7" ht="15.75" customHeight="1" x14ac:dyDescent="0.25">
      <c r="A154" s="4">
        <v>45712</v>
      </c>
      <c r="B154" s="2" t="s">
        <v>30</v>
      </c>
      <c r="C154" s="2">
        <v>1440</v>
      </c>
      <c r="D154" s="2">
        <v>65</v>
      </c>
      <c r="E154" s="2">
        <v>126524</v>
      </c>
      <c r="F154" s="2">
        <v>4.34</v>
      </c>
      <c r="G154" s="2">
        <v>49772</v>
      </c>
    </row>
    <row r="155" spans="1:7" ht="15.75" customHeight="1" x14ac:dyDescent="0.25">
      <c r="A155" s="4">
        <v>45712</v>
      </c>
      <c r="B155" s="2" t="s">
        <v>38</v>
      </c>
      <c r="C155" s="2">
        <v>1884</v>
      </c>
      <c r="D155" s="2">
        <v>177</v>
      </c>
      <c r="E155" s="2">
        <v>230448</v>
      </c>
      <c r="F155" s="2">
        <v>7.8</v>
      </c>
      <c r="G155" s="2">
        <v>22713</v>
      </c>
    </row>
    <row r="156" spans="1:7" ht="15.75" customHeight="1" x14ac:dyDescent="0.25">
      <c r="A156" s="4">
        <v>45712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2">
        <v>8718</v>
      </c>
    </row>
    <row r="157" spans="1:7" ht="15.75" customHeight="1" x14ac:dyDescent="0.25">
      <c r="A157" s="4">
        <v>45712</v>
      </c>
      <c r="B157" s="2" t="s">
        <v>25</v>
      </c>
      <c r="C157" s="2">
        <v>1063</v>
      </c>
      <c r="D157" s="2">
        <v>47</v>
      </c>
      <c r="E157" s="2">
        <v>464239</v>
      </c>
      <c r="F157" s="2">
        <v>6.58</v>
      </c>
      <c r="G157" s="2">
        <v>39031</v>
      </c>
    </row>
    <row r="158" spans="1:7" ht="15.75" customHeight="1" x14ac:dyDescent="0.25">
      <c r="A158" s="4">
        <v>45719</v>
      </c>
      <c r="B158" s="2" t="s">
        <v>30</v>
      </c>
      <c r="C158" s="2">
        <v>1371</v>
      </c>
      <c r="D158" s="2">
        <v>56</v>
      </c>
      <c r="E158" s="2">
        <v>257579</v>
      </c>
      <c r="F158" s="2">
        <v>8.6199999999999992</v>
      </c>
      <c r="G158" s="2">
        <v>33799</v>
      </c>
    </row>
    <row r="159" spans="1:7" ht="15.75" customHeight="1" x14ac:dyDescent="0.25">
      <c r="A159" s="4">
        <v>45719</v>
      </c>
      <c r="B159" s="2" t="s">
        <v>38</v>
      </c>
      <c r="C159" s="2">
        <v>345</v>
      </c>
      <c r="D159" s="2">
        <v>464</v>
      </c>
      <c r="E159" s="2">
        <v>366881</v>
      </c>
      <c r="F159" s="2">
        <v>4.55</v>
      </c>
      <c r="G159" s="2">
        <v>20553</v>
      </c>
    </row>
    <row r="160" spans="1:7" ht="15.75" customHeight="1" x14ac:dyDescent="0.25">
      <c r="A160" s="4">
        <v>45719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2">
        <v>10002</v>
      </c>
    </row>
    <row r="161" spans="1:7" ht="15.75" customHeight="1" x14ac:dyDescent="0.25">
      <c r="A161" s="4">
        <v>45719</v>
      </c>
      <c r="B161" s="2" t="s">
        <v>25</v>
      </c>
      <c r="C161" s="2">
        <v>510</v>
      </c>
      <c r="D161" s="2">
        <v>195</v>
      </c>
      <c r="E161" s="2">
        <v>224534</v>
      </c>
      <c r="F161" s="2">
        <v>9.4</v>
      </c>
      <c r="G161" s="2">
        <v>30987</v>
      </c>
    </row>
    <row r="162" spans="1:7" ht="15.75" customHeight="1" x14ac:dyDescent="0.25">
      <c r="A162" s="4">
        <v>45726</v>
      </c>
      <c r="B162" s="2" t="s">
        <v>30</v>
      </c>
      <c r="C162" s="2">
        <v>393</v>
      </c>
      <c r="D162" s="2">
        <v>181</v>
      </c>
      <c r="E162" s="2">
        <v>462142</v>
      </c>
      <c r="F162" s="2">
        <v>7.23</v>
      </c>
      <c r="G162" s="2">
        <v>6296</v>
      </c>
    </row>
    <row r="163" spans="1:7" ht="15.75" customHeight="1" x14ac:dyDescent="0.25">
      <c r="A163" s="4">
        <v>45726</v>
      </c>
      <c r="B163" s="2" t="s">
        <v>38</v>
      </c>
      <c r="C163" s="2">
        <v>1098</v>
      </c>
      <c r="D163" s="2">
        <v>190</v>
      </c>
      <c r="E163" s="2">
        <v>340842</v>
      </c>
      <c r="F163" s="2">
        <v>9.39</v>
      </c>
      <c r="G163" s="2">
        <v>21539</v>
      </c>
    </row>
    <row r="164" spans="1:7" ht="15.75" customHeight="1" x14ac:dyDescent="0.25">
      <c r="A164" s="4">
        <v>45726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2">
        <v>14722</v>
      </c>
    </row>
    <row r="165" spans="1:7" ht="15.75" customHeight="1" x14ac:dyDescent="0.25">
      <c r="A165" s="4">
        <v>45726</v>
      </c>
      <c r="B165" s="2" t="s">
        <v>25</v>
      </c>
      <c r="C165" s="2">
        <v>1658</v>
      </c>
      <c r="D165" s="2">
        <v>416</v>
      </c>
      <c r="E165" s="2">
        <v>98397</v>
      </c>
      <c r="F165" s="2">
        <v>6.11</v>
      </c>
      <c r="G165" s="2">
        <v>11383</v>
      </c>
    </row>
    <row r="166" spans="1:7" ht="15.75" customHeight="1" x14ac:dyDescent="0.25">
      <c r="A166" s="4">
        <v>45733</v>
      </c>
      <c r="B166" s="2" t="s">
        <v>30</v>
      </c>
      <c r="C166" s="2">
        <v>1102</v>
      </c>
      <c r="D166" s="2">
        <v>422</v>
      </c>
      <c r="E166" s="2">
        <v>410330</v>
      </c>
      <c r="F166" s="2">
        <v>7.74</v>
      </c>
      <c r="G166" s="2">
        <v>9480</v>
      </c>
    </row>
    <row r="167" spans="1:7" ht="15.75" customHeight="1" x14ac:dyDescent="0.25">
      <c r="A167" s="4">
        <v>45733</v>
      </c>
      <c r="B167" s="2" t="s">
        <v>38</v>
      </c>
      <c r="C167" s="2">
        <v>1358</v>
      </c>
      <c r="D167" s="2">
        <v>242</v>
      </c>
      <c r="E167" s="2">
        <v>342129</v>
      </c>
      <c r="F167" s="2">
        <v>4.9400000000000004</v>
      </c>
      <c r="G167" s="2">
        <v>29116</v>
      </c>
    </row>
    <row r="168" spans="1:7" ht="15.75" customHeight="1" x14ac:dyDescent="0.25">
      <c r="A168" s="4">
        <v>45733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2">
        <v>14068</v>
      </c>
    </row>
    <row r="169" spans="1:7" ht="15.75" customHeight="1" x14ac:dyDescent="0.25">
      <c r="A169" s="4">
        <v>45733</v>
      </c>
      <c r="B169" s="2" t="s">
        <v>25</v>
      </c>
      <c r="C169" s="2">
        <v>1596</v>
      </c>
      <c r="D169" s="2">
        <v>211</v>
      </c>
      <c r="E169" s="2">
        <v>17380</v>
      </c>
      <c r="F169" s="2">
        <v>8.64</v>
      </c>
      <c r="G169" s="2">
        <v>35801</v>
      </c>
    </row>
    <row r="170" spans="1:7" ht="15.75" customHeight="1" x14ac:dyDescent="0.25">
      <c r="A170" s="4">
        <v>45740</v>
      </c>
      <c r="B170" s="2" t="s">
        <v>30</v>
      </c>
      <c r="C170" s="2">
        <v>490</v>
      </c>
      <c r="D170" s="2">
        <v>29</v>
      </c>
      <c r="E170" s="2">
        <v>364810</v>
      </c>
      <c r="F170" s="2">
        <v>1.53</v>
      </c>
      <c r="G170" s="2">
        <v>49077</v>
      </c>
    </row>
    <row r="171" spans="1:7" ht="15.75" customHeight="1" x14ac:dyDescent="0.25">
      <c r="A171" s="4">
        <v>45740</v>
      </c>
      <c r="B171" s="2" t="s">
        <v>38</v>
      </c>
      <c r="C171" s="2">
        <v>609</v>
      </c>
      <c r="D171" s="2">
        <v>135</v>
      </c>
      <c r="E171" s="2">
        <v>373606</v>
      </c>
      <c r="F171" s="2">
        <v>8.52</v>
      </c>
      <c r="G171" s="2">
        <v>21453</v>
      </c>
    </row>
    <row r="172" spans="1:7" ht="15.75" customHeight="1" x14ac:dyDescent="0.25">
      <c r="A172" s="4">
        <v>45740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2">
        <v>21061</v>
      </c>
    </row>
    <row r="173" spans="1:7" ht="15.75" customHeight="1" x14ac:dyDescent="0.25">
      <c r="A173" s="4">
        <v>45740</v>
      </c>
      <c r="B173" s="2" t="s">
        <v>25</v>
      </c>
      <c r="C173" s="2">
        <v>442</v>
      </c>
      <c r="D173" s="2">
        <v>53</v>
      </c>
      <c r="E173" s="2">
        <v>441931</v>
      </c>
      <c r="F173" s="2">
        <v>1.87</v>
      </c>
      <c r="G173" s="2">
        <v>20059</v>
      </c>
    </row>
    <row r="174" spans="1:7" ht="15.75" customHeight="1" x14ac:dyDescent="0.25">
      <c r="A174" s="4">
        <v>45747</v>
      </c>
      <c r="B174" s="2" t="s">
        <v>30</v>
      </c>
      <c r="C174" s="2">
        <v>1033</v>
      </c>
      <c r="D174" s="2">
        <v>392</v>
      </c>
      <c r="E174" s="2">
        <v>282780</v>
      </c>
      <c r="F174" s="2">
        <v>6.27</v>
      </c>
      <c r="G174" s="2">
        <v>23140</v>
      </c>
    </row>
    <row r="175" spans="1:7" ht="15.75" customHeight="1" x14ac:dyDescent="0.25">
      <c r="A175" s="4">
        <v>45747</v>
      </c>
      <c r="B175" s="2" t="s">
        <v>38</v>
      </c>
      <c r="C175" s="2">
        <v>988</v>
      </c>
      <c r="D175" s="2">
        <v>474</v>
      </c>
      <c r="E175" s="2">
        <v>370070</v>
      </c>
      <c r="F175" s="2">
        <v>9.4600000000000009</v>
      </c>
      <c r="G175" s="2">
        <v>23461</v>
      </c>
    </row>
    <row r="176" spans="1:7" ht="15.75" customHeight="1" x14ac:dyDescent="0.25">
      <c r="A176" s="4">
        <v>45747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2">
        <v>11805</v>
      </c>
    </row>
    <row r="177" spans="1:7" ht="15.75" customHeight="1" x14ac:dyDescent="0.25">
      <c r="A177" s="4">
        <v>45747</v>
      </c>
      <c r="B177" s="2" t="s">
        <v>25</v>
      </c>
      <c r="C177" s="2">
        <v>1957</v>
      </c>
      <c r="D177" s="2">
        <v>490</v>
      </c>
      <c r="E177" s="2">
        <v>435726</v>
      </c>
      <c r="F177" s="2">
        <v>4.7300000000000004</v>
      </c>
      <c r="G177" s="2">
        <v>15969</v>
      </c>
    </row>
    <row r="178" spans="1:7" ht="15.75" customHeight="1" x14ac:dyDescent="0.25">
      <c r="A178" s="4">
        <v>45754</v>
      </c>
      <c r="B178" s="2" t="s">
        <v>30</v>
      </c>
      <c r="C178" s="2">
        <v>559</v>
      </c>
      <c r="D178" s="2">
        <v>392</v>
      </c>
      <c r="E178" s="2">
        <v>78789</v>
      </c>
      <c r="F178" s="2">
        <v>3.19</v>
      </c>
      <c r="G178" s="2">
        <v>2436</v>
      </c>
    </row>
    <row r="179" spans="1:7" ht="15.75" customHeight="1" x14ac:dyDescent="0.25">
      <c r="A179" s="4">
        <v>45754</v>
      </c>
      <c r="B179" s="2" t="s">
        <v>38</v>
      </c>
      <c r="C179" s="2">
        <v>1307</v>
      </c>
      <c r="D179" s="2">
        <v>278</v>
      </c>
      <c r="E179" s="2">
        <v>98596</v>
      </c>
      <c r="F179" s="2">
        <v>2.4900000000000002</v>
      </c>
      <c r="G179" s="2">
        <v>47603</v>
      </c>
    </row>
    <row r="180" spans="1:7" ht="15.75" customHeight="1" x14ac:dyDescent="0.25">
      <c r="A180" s="4">
        <v>45754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2">
        <v>42964</v>
      </c>
    </row>
    <row r="181" spans="1:7" ht="15.75" customHeight="1" x14ac:dyDescent="0.25">
      <c r="A181" s="4">
        <v>45754</v>
      </c>
      <c r="B181" s="2" t="s">
        <v>25</v>
      </c>
      <c r="C181" s="2">
        <v>623</v>
      </c>
      <c r="D181" s="2">
        <v>414</v>
      </c>
      <c r="E181" s="2">
        <v>290354</v>
      </c>
      <c r="F181" s="2">
        <v>6.49</v>
      </c>
      <c r="G181" s="2">
        <v>39923</v>
      </c>
    </row>
    <row r="182" spans="1:7" ht="15.75" customHeight="1" x14ac:dyDescent="0.25">
      <c r="A182" s="4">
        <v>45761</v>
      </c>
      <c r="B182" s="2" t="s">
        <v>30</v>
      </c>
      <c r="C182" s="2">
        <v>198</v>
      </c>
      <c r="D182" s="2">
        <v>358</v>
      </c>
      <c r="E182" s="2">
        <v>66682</v>
      </c>
      <c r="F182" s="2">
        <v>6.73</v>
      </c>
      <c r="G182" s="2">
        <v>2293</v>
      </c>
    </row>
    <row r="183" spans="1:7" ht="15.75" customHeight="1" x14ac:dyDescent="0.25">
      <c r="A183" s="4">
        <v>45761</v>
      </c>
      <c r="B183" s="2" t="s">
        <v>38</v>
      </c>
      <c r="C183" s="2">
        <v>198</v>
      </c>
      <c r="D183" s="2">
        <v>373</v>
      </c>
      <c r="E183" s="2">
        <v>70707</v>
      </c>
      <c r="F183" s="2">
        <v>4.83</v>
      </c>
      <c r="G183" s="2">
        <v>25920</v>
      </c>
    </row>
    <row r="184" spans="1:7" ht="15.75" customHeight="1" x14ac:dyDescent="0.25">
      <c r="A184" s="4">
        <v>45761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2">
        <v>11035</v>
      </c>
    </row>
    <row r="185" spans="1:7" ht="15.75" customHeight="1" x14ac:dyDescent="0.25">
      <c r="A185" s="4">
        <v>45761</v>
      </c>
      <c r="B185" s="2" t="s">
        <v>25</v>
      </c>
      <c r="C185" s="2">
        <v>520</v>
      </c>
      <c r="D185" s="2">
        <v>375</v>
      </c>
      <c r="E185" s="2">
        <v>369525</v>
      </c>
      <c r="F185" s="2">
        <v>6.54</v>
      </c>
      <c r="G185" s="2">
        <v>20733</v>
      </c>
    </row>
    <row r="186" spans="1:7" ht="15.75" customHeight="1" x14ac:dyDescent="0.25">
      <c r="A186" s="4">
        <v>45768</v>
      </c>
      <c r="B186" s="2" t="s">
        <v>30</v>
      </c>
      <c r="C186" s="2">
        <v>961</v>
      </c>
      <c r="D186" s="2">
        <v>358</v>
      </c>
      <c r="E186" s="2">
        <v>62942</v>
      </c>
      <c r="F186" s="2">
        <v>6.8</v>
      </c>
      <c r="G186" s="2">
        <v>18693</v>
      </c>
    </row>
    <row r="187" spans="1:7" ht="15.75" customHeight="1" x14ac:dyDescent="0.25">
      <c r="A187" s="4">
        <v>45768</v>
      </c>
      <c r="B187" s="2" t="s">
        <v>38</v>
      </c>
      <c r="C187" s="2">
        <v>1375</v>
      </c>
      <c r="D187" s="2">
        <v>330</v>
      </c>
      <c r="E187" s="2">
        <v>377382</v>
      </c>
      <c r="F187" s="2">
        <v>2.6</v>
      </c>
      <c r="G187" s="2">
        <v>7875</v>
      </c>
    </row>
    <row r="188" spans="1:7" ht="15.75" customHeight="1" x14ac:dyDescent="0.25">
      <c r="A188" s="4">
        <v>45768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2">
        <v>8471</v>
      </c>
    </row>
    <row r="189" spans="1:7" ht="15.75" customHeight="1" x14ac:dyDescent="0.25">
      <c r="A189" s="4">
        <v>45768</v>
      </c>
      <c r="B189" s="2" t="s">
        <v>25</v>
      </c>
      <c r="C189" s="2">
        <v>1707</v>
      </c>
      <c r="D189" s="2">
        <v>74</v>
      </c>
      <c r="E189" s="2">
        <v>270958</v>
      </c>
      <c r="F189" s="2">
        <v>3.09</v>
      </c>
      <c r="G189" s="2">
        <v>14090</v>
      </c>
    </row>
    <row r="190" spans="1:7" ht="15.75" customHeight="1" x14ac:dyDescent="0.25">
      <c r="A190" s="4">
        <v>45775</v>
      </c>
      <c r="B190" s="2" t="s">
        <v>30</v>
      </c>
      <c r="C190" s="2">
        <v>1693</v>
      </c>
      <c r="D190" s="2">
        <v>154</v>
      </c>
      <c r="E190" s="2">
        <v>445944</v>
      </c>
      <c r="F190" s="2">
        <v>5.69</v>
      </c>
      <c r="G190" s="2">
        <v>14216</v>
      </c>
    </row>
    <row r="191" spans="1:7" ht="15.75" customHeight="1" x14ac:dyDescent="0.25">
      <c r="A191" s="4">
        <v>45775</v>
      </c>
      <c r="B191" s="2" t="s">
        <v>38</v>
      </c>
      <c r="C191" s="2">
        <v>833</v>
      </c>
      <c r="D191" s="2">
        <v>380</v>
      </c>
      <c r="E191" s="2">
        <v>224830</v>
      </c>
      <c r="F191" s="2">
        <v>3.86</v>
      </c>
      <c r="G191" s="2">
        <v>3582</v>
      </c>
    </row>
    <row r="192" spans="1:7" ht="15.75" customHeight="1" x14ac:dyDescent="0.25">
      <c r="A192" s="4">
        <v>45775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2">
        <v>32500</v>
      </c>
    </row>
    <row r="193" spans="1:7" ht="15.75" customHeight="1" x14ac:dyDescent="0.25">
      <c r="A193" s="4">
        <v>45775</v>
      </c>
      <c r="B193" s="2" t="s">
        <v>25</v>
      </c>
      <c r="C193" s="2">
        <v>777</v>
      </c>
      <c r="D193" s="2">
        <v>140</v>
      </c>
      <c r="E193" s="2">
        <v>11435</v>
      </c>
      <c r="F193" s="2">
        <v>1.6</v>
      </c>
      <c r="G193" s="2">
        <v>6832</v>
      </c>
    </row>
    <row r="194" spans="1:7" ht="15.75" customHeight="1" x14ac:dyDescent="0.25">
      <c r="A194" s="4">
        <v>45782</v>
      </c>
      <c r="B194" s="2" t="s">
        <v>30</v>
      </c>
      <c r="C194" s="2">
        <v>1957</v>
      </c>
      <c r="D194" s="2">
        <v>76</v>
      </c>
      <c r="E194" s="2">
        <v>447902</v>
      </c>
      <c r="F194" s="2">
        <v>6.09</v>
      </c>
      <c r="G194" s="2">
        <v>33381</v>
      </c>
    </row>
    <row r="195" spans="1:7" ht="15.75" customHeight="1" x14ac:dyDescent="0.25">
      <c r="A195" s="4">
        <v>45782</v>
      </c>
      <c r="B195" s="2" t="s">
        <v>38</v>
      </c>
      <c r="C195" s="2">
        <v>405</v>
      </c>
      <c r="D195" s="2">
        <v>66</v>
      </c>
      <c r="E195" s="2">
        <v>418696</v>
      </c>
      <c r="F195" s="2">
        <v>5.59</v>
      </c>
      <c r="G195" s="2">
        <v>48419</v>
      </c>
    </row>
    <row r="196" spans="1:7" ht="15.75" customHeight="1" x14ac:dyDescent="0.25">
      <c r="A196" s="4">
        <v>45782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2">
        <v>16149</v>
      </c>
    </row>
    <row r="197" spans="1:7" ht="15.75" customHeight="1" x14ac:dyDescent="0.25">
      <c r="A197" s="4">
        <v>45782</v>
      </c>
      <c r="B197" s="2" t="s">
        <v>25</v>
      </c>
      <c r="C197" s="2">
        <v>1035</v>
      </c>
      <c r="D197" s="2">
        <v>171</v>
      </c>
      <c r="E197" s="2">
        <v>148477</v>
      </c>
      <c r="F197" s="2">
        <v>5.21</v>
      </c>
      <c r="G197" s="2">
        <v>7541</v>
      </c>
    </row>
    <row r="198" spans="1:7" ht="15.75" customHeight="1" x14ac:dyDescent="0.25">
      <c r="A198" s="4">
        <v>45789</v>
      </c>
      <c r="B198" s="2" t="s">
        <v>30</v>
      </c>
      <c r="C198" s="2">
        <v>1765</v>
      </c>
      <c r="D198" s="2">
        <v>109</v>
      </c>
      <c r="E198" s="2">
        <v>468301</v>
      </c>
      <c r="F198" s="2">
        <v>1.82</v>
      </c>
      <c r="G198" s="2">
        <v>20042</v>
      </c>
    </row>
    <row r="199" spans="1:7" ht="15.75" customHeight="1" x14ac:dyDescent="0.25">
      <c r="A199" s="4">
        <v>45789</v>
      </c>
      <c r="B199" s="2" t="s">
        <v>38</v>
      </c>
      <c r="C199" s="2">
        <v>837</v>
      </c>
      <c r="D199" s="2">
        <v>430</v>
      </c>
      <c r="E199" s="2">
        <v>364820</v>
      </c>
      <c r="F199" s="2">
        <v>4</v>
      </c>
      <c r="G199" s="2">
        <v>49400</v>
      </c>
    </row>
    <row r="200" spans="1:7" ht="15.75" customHeight="1" x14ac:dyDescent="0.25">
      <c r="A200" s="4">
        <v>45789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2">
        <v>4007</v>
      </c>
    </row>
    <row r="201" spans="1:7" ht="15.75" customHeight="1" x14ac:dyDescent="0.25">
      <c r="A201" s="4">
        <v>45789</v>
      </c>
      <c r="B201" s="2" t="s">
        <v>25</v>
      </c>
      <c r="C201" s="2">
        <v>119</v>
      </c>
      <c r="D201" s="2">
        <v>456</v>
      </c>
      <c r="E201" s="2">
        <v>82558</v>
      </c>
      <c r="F201" s="2">
        <v>6.81</v>
      </c>
      <c r="G201" s="2">
        <v>12174</v>
      </c>
    </row>
    <row r="202" spans="1:7" ht="15.75" customHeight="1" x14ac:dyDescent="0.25"/>
    <row r="203" spans="1:7" ht="15.75" customHeight="1" x14ac:dyDescent="0.25"/>
    <row r="204" spans="1:7" ht="15.75" customHeight="1" x14ac:dyDescent="0.25"/>
    <row r="205" spans="1:7" ht="15.75" customHeight="1" x14ac:dyDescent="0.25"/>
    <row r="206" spans="1:7" ht="15.75" customHeight="1" x14ac:dyDescent="0.25"/>
    <row r="207" spans="1:7" ht="15.75" customHeight="1" x14ac:dyDescent="0.25"/>
    <row r="208" spans="1:7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D1F1-B56C-460D-8FED-E32C8D83BF6F}">
  <dimension ref="A1:S303"/>
  <sheetViews>
    <sheetView workbookViewId="0">
      <selection activeCell="N4" sqref="N4"/>
    </sheetView>
  </sheetViews>
  <sheetFormatPr defaultRowHeight="15" x14ac:dyDescent="0.25"/>
  <cols>
    <col min="2" max="2" width="11.140625" customWidth="1"/>
    <col min="3" max="3" width="12.5703125" customWidth="1"/>
    <col min="4" max="4" width="12.28515625" customWidth="1"/>
    <col min="5" max="5" width="40.85546875" customWidth="1"/>
    <col min="6" max="7" width="16.42578125" customWidth="1"/>
    <col min="8" max="8" width="20" customWidth="1"/>
    <col min="9" max="9" width="13.42578125" customWidth="1"/>
    <col min="10" max="10" width="15.85546875" customWidth="1"/>
    <col min="12" max="12" width="24.85546875" customWidth="1"/>
    <col min="13" max="13" width="22.7109375" customWidth="1"/>
    <col min="14" max="14" width="23.140625" customWidth="1"/>
    <col min="15" max="15" width="21" customWidth="1"/>
    <col min="16" max="16" width="29" customWidth="1"/>
    <col min="19" max="19" width="9.140625" customWidth="1"/>
  </cols>
  <sheetData>
    <row r="1" spans="1:19" ht="21" x14ac:dyDescent="0.35">
      <c r="A1" s="5" t="s">
        <v>377</v>
      </c>
      <c r="B1" s="5"/>
      <c r="C1" s="5"/>
      <c r="D1" s="5"/>
      <c r="E1" s="5"/>
      <c r="F1" s="5"/>
      <c r="G1" s="5"/>
    </row>
    <row r="2" spans="1:19" ht="15.75" x14ac:dyDescent="0.25">
      <c r="A2" s="63" t="s">
        <v>378</v>
      </c>
      <c r="B2" s="63"/>
      <c r="C2" s="63"/>
      <c r="D2" s="63"/>
      <c r="E2" s="63"/>
      <c r="F2" s="63"/>
      <c r="G2" s="63"/>
    </row>
    <row r="3" spans="1:1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64" t="s">
        <v>11</v>
      </c>
      <c r="M3" s="65"/>
      <c r="N3" s="66"/>
      <c r="O3" s="1" t="s">
        <v>12</v>
      </c>
      <c r="P3" s="61" t="s">
        <v>382</v>
      </c>
      <c r="Q3" s="62"/>
      <c r="R3" s="62"/>
      <c r="S3" s="62"/>
    </row>
    <row r="4" spans="1:19" x14ac:dyDescent="0.25">
      <c r="A4" s="2" t="s">
        <v>13</v>
      </c>
      <c r="B4" s="2" t="s">
        <v>14</v>
      </c>
      <c r="C4" s="4">
        <v>45649</v>
      </c>
      <c r="D4" s="2" t="s">
        <v>15</v>
      </c>
      <c r="E4" s="2" t="s">
        <v>16</v>
      </c>
      <c r="F4" s="3">
        <v>1461</v>
      </c>
      <c r="G4" s="2">
        <v>184</v>
      </c>
      <c r="H4" s="2">
        <v>344</v>
      </c>
      <c r="I4" s="3">
        <v>21915</v>
      </c>
      <c r="J4" s="3">
        <v>21675</v>
      </c>
      <c r="K4" s="2">
        <v>15</v>
      </c>
      <c r="L4" s="2" t="s">
        <v>51</v>
      </c>
      <c r="M4" s="2" t="s">
        <v>379</v>
      </c>
      <c r="N4" s="2"/>
      <c r="O4" s="2" t="s">
        <v>18</v>
      </c>
      <c r="Q4" t="b">
        <f>EXACT(B4,SUBSTITUTE(PROPER(B4),"Youtube","YouTube"))</f>
        <v>1</v>
      </c>
    </row>
    <row r="5" spans="1:19" x14ac:dyDescent="0.25">
      <c r="A5" s="2" t="s">
        <v>19</v>
      </c>
      <c r="B5" s="2" t="s">
        <v>14</v>
      </c>
      <c r="C5" s="4">
        <v>45750</v>
      </c>
      <c r="D5" s="2" t="s">
        <v>20</v>
      </c>
      <c r="E5" s="2" t="s">
        <v>21</v>
      </c>
      <c r="F5" s="3">
        <v>4054</v>
      </c>
      <c r="G5" s="2">
        <v>389</v>
      </c>
      <c r="H5" s="2">
        <v>493</v>
      </c>
      <c r="I5" s="3">
        <v>64864</v>
      </c>
      <c r="J5" s="3">
        <v>64383</v>
      </c>
      <c r="K5" s="2">
        <v>117</v>
      </c>
      <c r="L5" s="2" t="s">
        <v>27</v>
      </c>
      <c r="M5" s="2" t="s">
        <v>380</v>
      </c>
      <c r="N5" s="2"/>
      <c r="O5" s="2" t="s">
        <v>23</v>
      </c>
      <c r="Q5" t="b">
        <f t="shared" ref="Q5:Q68" si="0">EXACT(B5,SUBSTITUTE(PROPER(B5),"Youtube","YouTube"))</f>
        <v>1</v>
      </c>
    </row>
    <row r="6" spans="1:19" x14ac:dyDescent="0.25">
      <c r="A6" s="2" t="s">
        <v>24</v>
      </c>
      <c r="B6" s="2" t="s">
        <v>25</v>
      </c>
      <c r="C6" s="4">
        <v>45789</v>
      </c>
      <c r="D6" s="2" t="s">
        <v>15</v>
      </c>
      <c r="E6" s="2" t="s">
        <v>26</v>
      </c>
      <c r="F6" s="3">
        <v>2795</v>
      </c>
      <c r="G6" s="2">
        <v>105</v>
      </c>
      <c r="H6" s="2">
        <v>49</v>
      </c>
      <c r="I6" s="3">
        <v>53105</v>
      </c>
      <c r="J6" s="3">
        <v>52307</v>
      </c>
      <c r="K6" s="2">
        <v>204</v>
      </c>
      <c r="L6" s="2" t="s">
        <v>27</v>
      </c>
      <c r="M6" s="2"/>
      <c r="N6" s="2"/>
      <c r="O6" s="2" t="s">
        <v>28</v>
      </c>
      <c r="Q6" t="b">
        <f t="shared" si="0"/>
        <v>1</v>
      </c>
    </row>
    <row r="7" spans="1:19" x14ac:dyDescent="0.25">
      <c r="A7" s="2" t="s">
        <v>29</v>
      </c>
      <c r="B7" s="2" t="s">
        <v>30</v>
      </c>
      <c r="C7" s="4">
        <v>45516</v>
      </c>
      <c r="D7" s="2" t="s">
        <v>31</v>
      </c>
      <c r="E7" s="2" t="s">
        <v>32</v>
      </c>
      <c r="F7" s="3">
        <v>2404</v>
      </c>
      <c r="G7" s="2">
        <v>363</v>
      </c>
      <c r="H7" s="2">
        <v>138</v>
      </c>
      <c r="I7" s="3">
        <v>19232</v>
      </c>
      <c r="J7" s="3">
        <v>18636</v>
      </c>
      <c r="K7" s="2">
        <v>128</v>
      </c>
      <c r="L7" s="2" t="s">
        <v>33</v>
      </c>
      <c r="M7" s="2"/>
      <c r="N7" s="2"/>
      <c r="O7" s="2" t="s">
        <v>34</v>
      </c>
      <c r="Q7" t="b">
        <f t="shared" si="0"/>
        <v>1</v>
      </c>
    </row>
    <row r="8" spans="1:19" x14ac:dyDescent="0.25">
      <c r="A8" s="2" t="s">
        <v>35</v>
      </c>
      <c r="B8" s="2" t="s">
        <v>25</v>
      </c>
      <c r="C8" s="4">
        <v>45469</v>
      </c>
      <c r="D8" s="2" t="s">
        <v>15</v>
      </c>
      <c r="E8" s="2" t="s">
        <v>26</v>
      </c>
      <c r="F8" s="3">
        <v>3557</v>
      </c>
      <c r="G8" s="2">
        <v>687</v>
      </c>
      <c r="H8" s="2">
        <v>424</v>
      </c>
      <c r="I8" s="3">
        <v>71140</v>
      </c>
      <c r="J8" s="3">
        <v>70701</v>
      </c>
      <c r="K8" s="2">
        <v>224</v>
      </c>
      <c r="L8" s="2" t="s">
        <v>33</v>
      </c>
      <c r="M8" s="2" t="s">
        <v>27</v>
      </c>
      <c r="N8" s="2"/>
      <c r="O8" s="2" t="s">
        <v>18</v>
      </c>
      <c r="Q8" t="b">
        <f t="shared" si="0"/>
        <v>1</v>
      </c>
    </row>
    <row r="9" spans="1:19" x14ac:dyDescent="0.25">
      <c r="A9" s="2" t="s">
        <v>37</v>
      </c>
      <c r="B9" s="2" t="s">
        <v>38</v>
      </c>
      <c r="C9" s="4">
        <v>45596</v>
      </c>
      <c r="D9" s="2" t="s">
        <v>39</v>
      </c>
      <c r="E9" s="2" t="s">
        <v>40</v>
      </c>
      <c r="F9" s="3">
        <v>2945</v>
      </c>
      <c r="G9" s="2">
        <v>930</v>
      </c>
      <c r="H9" s="2">
        <v>355</v>
      </c>
      <c r="I9" s="3">
        <v>23560</v>
      </c>
      <c r="J9" s="3">
        <v>23275</v>
      </c>
      <c r="K9" s="2">
        <v>256</v>
      </c>
      <c r="L9" s="2" t="s">
        <v>27</v>
      </c>
      <c r="M9" s="2"/>
      <c r="N9" s="2"/>
      <c r="O9" s="2" t="s">
        <v>23</v>
      </c>
      <c r="Q9" t="b">
        <f t="shared" si="0"/>
        <v>1</v>
      </c>
    </row>
    <row r="10" spans="1:19" x14ac:dyDescent="0.25">
      <c r="A10" s="2" t="s">
        <v>41</v>
      </c>
      <c r="B10" s="2" t="s">
        <v>14</v>
      </c>
      <c r="C10" s="4">
        <v>45467</v>
      </c>
      <c r="D10" s="2" t="s">
        <v>39</v>
      </c>
      <c r="E10" s="2" t="s">
        <v>42</v>
      </c>
      <c r="F10" s="3">
        <v>3860</v>
      </c>
      <c r="G10" s="2">
        <v>201</v>
      </c>
      <c r="H10" s="2">
        <v>279</v>
      </c>
      <c r="I10" s="3">
        <v>61760</v>
      </c>
      <c r="J10" s="3">
        <v>61660</v>
      </c>
      <c r="K10" s="2">
        <v>235</v>
      </c>
      <c r="L10" s="2" t="s">
        <v>27</v>
      </c>
      <c r="M10" s="2"/>
      <c r="N10" s="2"/>
      <c r="O10" s="2" t="s">
        <v>23</v>
      </c>
      <c r="Q10" t="b">
        <f t="shared" si="0"/>
        <v>1</v>
      </c>
    </row>
    <row r="11" spans="1:19" x14ac:dyDescent="0.25">
      <c r="A11" s="2" t="s">
        <v>43</v>
      </c>
      <c r="B11" s="2" t="s">
        <v>25</v>
      </c>
      <c r="C11" s="4">
        <v>45486</v>
      </c>
      <c r="D11" s="2" t="s">
        <v>44</v>
      </c>
      <c r="E11" s="2" t="s">
        <v>45</v>
      </c>
      <c r="F11" s="3">
        <v>3929</v>
      </c>
      <c r="G11" s="2">
        <v>262</v>
      </c>
      <c r="H11" s="2">
        <v>278</v>
      </c>
      <c r="I11" s="3">
        <v>43219</v>
      </c>
      <c r="J11" s="3">
        <v>42841</v>
      </c>
      <c r="K11" s="2">
        <v>39</v>
      </c>
      <c r="L11" s="2" t="s">
        <v>33</v>
      </c>
      <c r="M11" s="2"/>
      <c r="N11" s="2"/>
      <c r="O11" s="2" t="s">
        <v>34</v>
      </c>
      <c r="Q11" t="b">
        <f t="shared" si="0"/>
        <v>1</v>
      </c>
    </row>
    <row r="12" spans="1:19" x14ac:dyDescent="0.25">
      <c r="A12" s="2" t="s">
        <v>46</v>
      </c>
      <c r="B12" s="2" t="s">
        <v>38</v>
      </c>
      <c r="C12" s="4">
        <v>45534</v>
      </c>
      <c r="D12" s="2" t="s">
        <v>20</v>
      </c>
      <c r="E12" s="2" t="s">
        <v>47</v>
      </c>
      <c r="F12" s="3">
        <v>3784</v>
      </c>
      <c r="G12" s="2">
        <v>808</v>
      </c>
      <c r="H12" s="2">
        <v>404</v>
      </c>
      <c r="I12" s="3">
        <v>56760</v>
      </c>
      <c r="J12" s="3">
        <v>56343</v>
      </c>
      <c r="K12" s="2">
        <v>131</v>
      </c>
      <c r="L12" s="2" t="s">
        <v>27</v>
      </c>
      <c r="M12" s="2"/>
      <c r="N12" s="2"/>
      <c r="O12" s="2" t="s">
        <v>23</v>
      </c>
      <c r="Q12" t="b">
        <f t="shared" si="0"/>
        <v>1</v>
      </c>
    </row>
    <row r="13" spans="1:19" x14ac:dyDescent="0.25">
      <c r="A13" s="2" t="s">
        <v>48</v>
      </c>
      <c r="B13" s="2" t="s">
        <v>38</v>
      </c>
      <c r="C13" s="4">
        <v>45727</v>
      </c>
      <c r="D13" s="2" t="s">
        <v>44</v>
      </c>
      <c r="E13" s="2" t="s">
        <v>49</v>
      </c>
      <c r="F13" s="3">
        <v>4241</v>
      </c>
      <c r="G13" s="2">
        <v>902</v>
      </c>
      <c r="H13" s="2">
        <v>47</v>
      </c>
      <c r="I13" s="3">
        <v>72097</v>
      </c>
      <c r="J13" s="3">
        <v>71598</v>
      </c>
      <c r="K13" s="2">
        <v>167</v>
      </c>
      <c r="L13" s="2" t="s">
        <v>27</v>
      </c>
      <c r="M13" s="2"/>
      <c r="N13" s="2"/>
      <c r="O13" s="2" t="s">
        <v>23</v>
      </c>
      <c r="Q13" t="b">
        <f t="shared" si="0"/>
        <v>1</v>
      </c>
    </row>
    <row r="14" spans="1:19" x14ac:dyDescent="0.25">
      <c r="A14" s="2" t="s">
        <v>50</v>
      </c>
      <c r="B14" s="2" t="s">
        <v>30</v>
      </c>
      <c r="C14" s="4">
        <v>45690</v>
      </c>
      <c r="D14" s="2" t="s">
        <v>31</v>
      </c>
      <c r="E14" s="2" t="s">
        <v>32</v>
      </c>
      <c r="F14" s="3">
        <v>1792</v>
      </c>
      <c r="G14" s="2">
        <v>614</v>
      </c>
      <c r="H14" s="2">
        <v>497</v>
      </c>
      <c r="I14" s="3">
        <v>25088</v>
      </c>
      <c r="J14" s="3">
        <v>24675</v>
      </c>
      <c r="K14" s="2">
        <v>65</v>
      </c>
      <c r="L14" s="2" t="s">
        <v>51</v>
      </c>
      <c r="M14" s="2"/>
      <c r="N14" s="2"/>
      <c r="O14" s="2" t="s">
        <v>34</v>
      </c>
      <c r="Q14" t="b">
        <f t="shared" si="0"/>
        <v>1</v>
      </c>
    </row>
    <row r="15" spans="1:19" x14ac:dyDescent="0.25">
      <c r="A15" s="2" t="s">
        <v>52</v>
      </c>
      <c r="B15" s="2" t="s">
        <v>38</v>
      </c>
      <c r="C15" s="4">
        <v>45494</v>
      </c>
      <c r="D15" s="2" t="s">
        <v>15</v>
      </c>
      <c r="E15" s="2" t="s">
        <v>53</v>
      </c>
      <c r="F15" s="3">
        <v>1946</v>
      </c>
      <c r="G15" s="2">
        <v>686</v>
      </c>
      <c r="H15" s="2">
        <v>377</v>
      </c>
      <c r="I15" s="3">
        <v>23352</v>
      </c>
      <c r="J15" s="3">
        <v>22982</v>
      </c>
      <c r="K15" s="2">
        <v>213</v>
      </c>
      <c r="L15" s="2" t="s">
        <v>51</v>
      </c>
      <c r="M15" s="2"/>
      <c r="N15" s="2"/>
      <c r="O15" s="2" t="s">
        <v>28</v>
      </c>
      <c r="Q15" t="b">
        <f t="shared" si="0"/>
        <v>1</v>
      </c>
    </row>
    <row r="16" spans="1:19" x14ac:dyDescent="0.25">
      <c r="A16" s="2" t="s">
        <v>54</v>
      </c>
      <c r="B16" s="2" t="s">
        <v>25</v>
      </c>
      <c r="C16" s="4">
        <v>45614</v>
      </c>
      <c r="D16" s="2" t="s">
        <v>39</v>
      </c>
      <c r="E16" s="2" t="s">
        <v>55</v>
      </c>
      <c r="F16" s="3">
        <v>1171</v>
      </c>
      <c r="G16" s="2">
        <v>286</v>
      </c>
      <c r="H16" s="2">
        <v>231</v>
      </c>
      <c r="I16" s="3">
        <v>22249</v>
      </c>
      <c r="J16" s="3">
        <v>21282</v>
      </c>
      <c r="K16" s="2">
        <v>114</v>
      </c>
      <c r="L16" s="2" t="s">
        <v>33</v>
      </c>
      <c r="M16" s="2"/>
      <c r="N16" s="2"/>
      <c r="O16" s="2" t="s">
        <v>18</v>
      </c>
      <c r="Q16" t="b">
        <f t="shared" si="0"/>
        <v>1</v>
      </c>
    </row>
    <row r="17" spans="1:17" x14ac:dyDescent="0.25">
      <c r="A17" s="2" t="s">
        <v>56</v>
      </c>
      <c r="B17" s="2" t="s">
        <v>38</v>
      </c>
      <c r="C17" s="4">
        <v>45704</v>
      </c>
      <c r="D17" s="2" t="s">
        <v>31</v>
      </c>
      <c r="E17" s="2" t="s">
        <v>57</v>
      </c>
      <c r="F17" s="3">
        <v>4242</v>
      </c>
      <c r="G17" s="2">
        <v>555</v>
      </c>
      <c r="H17" s="2">
        <v>131</v>
      </c>
      <c r="I17" s="3">
        <v>33936</v>
      </c>
      <c r="J17" s="3">
        <v>33802</v>
      </c>
      <c r="K17" s="2">
        <v>265</v>
      </c>
      <c r="L17" s="2" t="s">
        <v>51</v>
      </c>
      <c r="M17" s="2"/>
      <c r="N17" s="2"/>
      <c r="Q17" t="b">
        <f t="shared" si="0"/>
        <v>1</v>
      </c>
    </row>
    <row r="18" spans="1:17" x14ac:dyDescent="0.25">
      <c r="A18" s="2" t="s">
        <v>58</v>
      </c>
      <c r="B18" s="2" t="s">
        <v>38</v>
      </c>
      <c r="C18" s="4">
        <v>45589</v>
      </c>
      <c r="D18" s="2" t="s">
        <v>59</v>
      </c>
      <c r="E18" s="2" t="s">
        <v>60</v>
      </c>
      <c r="F18" s="3">
        <v>3888</v>
      </c>
      <c r="G18" s="2">
        <v>604</v>
      </c>
      <c r="H18" s="2">
        <v>128</v>
      </c>
      <c r="I18" s="3">
        <v>77760</v>
      </c>
      <c r="J18" s="3">
        <v>77167</v>
      </c>
      <c r="K18" s="2">
        <v>20</v>
      </c>
      <c r="L18" s="2" t="s">
        <v>51</v>
      </c>
      <c r="M18" s="2"/>
      <c r="N18" s="2"/>
      <c r="O18" s="2" t="s">
        <v>18</v>
      </c>
      <c r="Q18" t="b">
        <f t="shared" si="0"/>
        <v>1</v>
      </c>
    </row>
    <row r="19" spans="1:17" x14ac:dyDescent="0.25">
      <c r="A19" s="2" t="s">
        <v>61</v>
      </c>
      <c r="B19" s="2" t="s">
        <v>38</v>
      </c>
      <c r="C19" s="4">
        <v>45530</v>
      </c>
      <c r="D19" s="2" t="s">
        <v>20</v>
      </c>
      <c r="E19" s="2" t="s">
        <v>47</v>
      </c>
      <c r="F19" s="3">
        <v>3452</v>
      </c>
      <c r="G19" s="2">
        <v>377</v>
      </c>
      <c r="H19" s="2">
        <v>360</v>
      </c>
      <c r="I19" s="3">
        <v>55232</v>
      </c>
      <c r="J19" s="3">
        <v>55075</v>
      </c>
      <c r="K19" s="2">
        <v>87</v>
      </c>
      <c r="L19" s="2" t="s">
        <v>51</v>
      </c>
      <c r="M19" s="2"/>
      <c r="N19" s="2"/>
      <c r="O19" s="2" t="s">
        <v>28</v>
      </c>
      <c r="Q19" t="b">
        <f t="shared" si="0"/>
        <v>1</v>
      </c>
    </row>
    <row r="20" spans="1:17" x14ac:dyDescent="0.25">
      <c r="A20" s="2" t="s">
        <v>62</v>
      </c>
      <c r="B20" s="2" t="s">
        <v>38</v>
      </c>
      <c r="C20" s="4">
        <v>45782</v>
      </c>
      <c r="D20" s="2" t="s">
        <v>20</v>
      </c>
      <c r="E20" s="2" t="s">
        <v>47</v>
      </c>
      <c r="F20" s="3">
        <v>4441</v>
      </c>
      <c r="G20" s="2">
        <v>511</v>
      </c>
      <c r="H20" s="2">
        <v>70</v>
      </c>
      <c r="I20" s="3">
        <v>53292</v>
      </c>
      <c r="J20" s="3">
        <v>53082</v>
      </c>
      <c r="K20" s="2">
        <v>159</v>
      </c>
      <c r="L20" s="2" t="s">
        <v>33</v>
      </c>
      <c r="M20" s="2"/>
      <c r="N20" s="2"/>
      <c r="O20" s="2" t="s">
        <v>34</v>
      </c>
      <c r="Q20" t="b">
        <f t="shared" si="0"/>
        <v>1</v>
      </c>
    </row>
    <row r="21" spans="1:17" x14ac:dyDescent="0.25">
      <c r="A21" s="2" t="s">
        <v>63</v>
      </c>
      <c r="B21" s="2" t="s">
        <v>30</v>
      </c>
      <c r="C21" s="4">
        <v>45523</v>
      </c>
      <c r="D21" s="2" t="s">
        <v>15</v>
      </c>
      <c r="E21" s="2" t="s">
        <v>64</v>
      </c>
      <c r="F21" s="3">
        <v>3000</v>
      </c>
      <c r="G21" s="2">
        <v>382</v>
      </c>
      <c r="H21" s="2">
        <v>325</v>
      </c>
      <c r="I21" s="3">
        <v>36000</v>
      </c>
      <c r="J21" s="3">
        <v>35819</v>
      </c>
      <c r="K21" s="2">
        <v>19</v>
      </c>
      <c r="L21" s="2" t="s">
        <v>51</v>
      </c>
      <c r="M21" s="2"/>
      <c r="N21" s="2"/>
      <c r="O21" s="2" t="s">
        <v>18</v>
      </c>
      <c r="Q21" t="b">
        <f t="shared" si="0"/>
        <v>1</v>
      </c>
    </row>
    <row r="22" spans="1:17" x14ac:dyDescent="0.25">
      <c r="A22" s="2" t="s">
        <v>65</v>
      </c>
      <c r="B22" s="2" t="s">
        <v>30</v>
      </c>
      <c r="C22" s="4">
        <v>45466</v>
      </c>
      <c r="D22" s="2" t="s">
        <v>59</v>
      </c>
      <c r="E22" s="2" t="s">
        <v>66</v>
      </c>
      <c r="F22" s="3">
        <v>1071</v>
      </c>
      <c r="G22" s="2">
        <v>519</v>
      </c>
      <c r="H22" s="2">
        <v>22</v>
      </c>
      <c r="I22" s="3">
        <v>16065</v>
      </c>
      <c r="J22" s="3">
        <v>15865</v>
      </c>
      <c r="K22" s="2">
        <v>103</v>
      </c>
      <c r="L22" s="2" t="s">
        <v>27</v>
      </c>
      <c r="M22" s="2"/>
      <c r="N22" s="2"/>
      <c r="O22" s="2" t="s">
        <v>34</v>
      </c>
      <c r="Q22" t="b">
        <f t="shared" si="0"/>
        <v>1</v>
      </c>
    </row>
    <row r="23" spans="1:17" x14ac:dyDescent="0.25">
      <c r="A23" s="2" t="s">
        <v>67</v>
      </c>
      <c r="B23" s="2" t="s">
        <v>30</v>
      </c>
      <c r="C23" s="4">
        <v>45544</v>
      </c>
      <c r="D23" s="2" t="s">
        <v>39</v>
      </c>
      <c r="E23" s="2" t="s">
        <v>68</v>
      </c>
      <c r="F23" s="3">
        <v>4054</v>
      </c>
      <c r="G23" s="2">
        <v>488</v>
      </c>
      <c r="H23" s="2">
        <v>373</v>
      </c>
      <c r="I23" s="3">
        <v>77026</v>
      </c>
      <c r="J23" s="3">
        <v>76881</v>
      </c>
      <c r="K23" s="2">
        <v>25</v>
      </c>
      <c r="L23" s="2" t="s">
        <v>27</v>
      </c>
      <c r="M23" s="2"/>
      <c r="N23" s="2"/>
      <c r="O23" s="2" t="s">
        <v>18</v>
      </c>
      <c r="Q23" t="b">
        <f t="shared" si="0"/>
        <v>1</v>
      </c>
    </row>
    <row r="24" spans="1:17" x14ac:dyDescent="0.25">
      <c r="A24" s="2" t="s">
        <v>69</v>
      </c>
      <c r="B24" s="2" t="s">
        <v>30</v>
      </c>
      <c r="C24" s="4">
        <v>45661</v>
      </c>
      <c r="D24" s="2" t="s">
        <v>15</v>
      </c>
      <c r="E24" s="2" t="s">
        <v>64</v>
      </c>
      <c r="F24" s="3">
        <v>4838</v>
      </c>
      <c r="G24" s="2">
        <v>640</v>
      </c>
      <c r="H24" s="2">
        <v>128</v>
      </c>
      <c r="I24" s="3">
        <v>72570</v>
      </c>
      <c r="J24" s="3">
        <v>72396</v>
      </c>
      <c r="K24" s="2">
        <v>83</v>
      </c>
      <c r="L24" s="2" t="s">
        <v>51</v>
      </c>
      <c r="M24" s="2"/>
      <c r="N24" s="2"/>
      <c r="O24" s="2" t="s">
        <v>34</v>
      </c>
      <c r="Q24" t="b">
        <f t="shared" si="0"/>
        <v>1</v>
      </c>
    </row>
    <row r="25" spans="1:17" x14ac:dyDescent="0.25">
      <c r="A25" s="2" t="s">
        <v>70</v>
      </c>
      <c r="B25" s="2" t="s">
        <v>38</v>
      </c>
      <c r="C25" s="4">
        <v>45715</v>
      </c>
      <c r="D25" s="2" t="s">
        <v>20</v>
      </c>
      <c r="E25" s="2" t="s">
        <v>47</v>
      </c>
      <c r="F25" s="3">
        <v>1570</v>
      </c>
      <c r="G25" s="2">
        <v>187</v>
      </c>
      <c r="H25" s="2">
        <v>260</v>
      </c>
      <c r="I25" s="3">
        <v>25120</v>
      </c>
      <c r="J25" s="3">
        <v>24613</v>
      </c>
      <c r="K25" s="2">
        <v>133</v>
      </c>
      <c r="L25" s="2" t="s">
        <v>27</v>
      </c>
      <c r="M25" s="2"/>
      <c r="N25" s="2"/>
      <c r="O25" s="2" t="s">
        <v>34</v>
      </c>
      <c r="Q25" t="b">
        <f t="shared" si="0"/>
        <v>1</v>
      </c>
    </row>
    <row r="26" spans="1:17" x14ac:dyDescent="0.25">
      <c r="A26" s="2" t="s">
        <v>71</v>
      </c>
      <c r="B26" s="2" t="s">
        <v>38</v>
      </c>
      <c r="C26" s="4">
        <v>45602</v>
      </c>
      <c r="D26" s="2" t="s">
        <v>59</v>
      </c>
      <c r="E26" s="2" t="s">
        <v>60</v>
      </c>
      <c r="F26" s="3">
        <v>1606</v>
      </c>
      <c r="G26" s="2">
        <v>547</v>
      </c>
      <c r="H26" s="2">
        <v>316</v>
      </c>
      <c r="I26" s="3">
        <v>32120</v>
      </c>
      <c r="J26" s="3">
        <v>31736</v>
      </c>
      <c r="K26" s="2">
        <v>225</v>
      </c>
      <c r="L26" s="2" t="s">
        <v>27</v>
      </c>
      <c r="M26" s="2" t="s">
        <v>379</v>
      </c>
      <c r="N26" s="2"/>
      <c r="O26" s="2" t="s">
        <v>23</v>
      </c>
      <c r="Q26" t="b">
        <f t="shared" si="0"/>
        <v>1</v>
      </c>
    </row>
    <row r="27" spans="1:17" x14ac:dyDescent="0.25">
      <c r="A27" s="2" t="s">
        <v>73</v>
      </c>
      <c r="B27" s="2" t="s">
        <v>38</v>
      </c>
      <c r="C27" s="4">
        <v>45680</v>
      </c>
      <c r="D27" s="2" t="s">
        <v>59</v>
      </c>
      <c r="E27" s="2" t="s">
        <v>60</v>
      </c>
      <c r="F27" s="3">
        <v>3961</v>
      </c>
      <c r="G27" s="2">
        <v>761</v>
      </c>
      <c r="H27" s="2">
        <v>131</v>
      </c>
      <c r="I27" s="3">
        <v>67337</v>
      </c>
      <c r="J27" s="3">
        <v>66615</v>
      </c>
      <c r="K27" s="2">
        <v>161</v>
      </c>
      <c r="L27" s="2" t="s">
        <v>51</v>
      </c>
      <c r="M27" s="2"/>
      <c r="N27" s="2"/>
      <c r="O27" s="2" t="s">
        <v>28</v>
      </c>
      <c r="Q27" t="b">
        <f t="shared" si="0"/>
        <v>1</v>
      </c>
    </row>
    <row r="28" spans="1:17" x14ac:dyDescent="0.25">
      <c r="A28" s="2" t="s">
        <v>74</v>
      </c>
      <c r="B28" s="2" t="s">
        <v>14</v>
      </c>
      <c r="C28" s="4">
        <v>45757</v>
      </c>
      <c r="D28" s="2" t="s">
        <v>39</v>
      </c>
      <c r="E28" s="2" t="s">
        <v>42</v>
      </c>
      <c r="F28" s="3">
        <v>3128</v>
      </c>
      <c r="G28" s="2">
        <v>211</v>
      </c>
      <c r="H28" s="2">
        <v>197</v>
      </c>
      <c r="I28" s="3">
        <v>59432</v>
      </c>
      <c r="J28" s="3">
        <v>59182</v>
      </c>
      <c r="K28" s="2">
        <v>238</v>
      </c>
      <c r="L28" s="2" t="s">
        <v>33</v>
      </c>
      <c r="M28" s="2"/>
      <c r="N28" s="2"/>
      <c r="Q28" t="b">
        <f t="shared" si="0"/>
        <v>1</v>
      </c>
    </row>
    <row r="29" spans="1:17" x14ac:dyDescent="0.25">
      <c r="A29" s="2" t="s">
        <v>75</v>
      </c>
      <c r="B29" s="2" t="s">
        <v>25</v>
      </c>
      <c r="C29" s="4">
        <v>45752</v>
      </c>
      <c r="D29" s="2" t="s">
        <v>15</v>
      </c>
      <c r="E29" s="2" t="s">
        <v>26</v>
      </c>
      <c r="F29" s="3">
        <v>3009</v>
      </c>
      <c r="G29" s="2">
        <v>413</v>
      </c>
      <c r="H29" s="2">
        <v>358</v>
      </c>
      <c r="I29" s="3">
        <v>42126</v>
      </c>
      <c r="J29" s="3">
        <v>41309</v>
      </c>
      <c r="K29" s="2">
        <v>211</v>
      </c>
      <c r="L29" s="2" t="s">
        <v>51</v>
      </c>
      <c r="M29" s="2"/>
      <c r="N29" s="2"/>
      <c r="O29" s="2" t="s">
        <v>23</v>
      </c>
      <c r="Q29" t="b">
        <f t="shared" si="0"/>
        <v>1</v>
      </c>
    </row>
    <row r="30" spans="1:17" x14ac:dyDescent="0.25">
      <c r="A30" s="2" t="s">
        <v>76</v>
      </c>
      <c r="B30" s="2" t="s">
        <v>25</v>
      </c>
      <c r="C30" s="4">
        <v>45552</v>
      </c>
      <c r="D30" s="2" t="s">
        <v>20</v>
      </c>
      <c r="E30" s="2" t="s">
        <v>77</v>
      </c>
      <c r="F30" s="3">
        <v>2076</v>
      </c>
      <c r="G30" s="2">
        <v>195</v>
      </c>
      <c r="H30" s="2">
        <v>104</v>
      </c>
      <c r="I30" s="3">
        <v>33216</v>
      </c>
      <c r="J30" s="3">
        <v>32244</v>
      </c>
      <c r="K30" s="2">
        <v>51</v>
      </c>
      <c r="L30" s="2" t="s">
        <v>51</v>
      </c>
      <c r="M30" s="2"/>
      <c r="N30" s="2"/>
      <c r="O30" s="2" t="s">
        <v>34</v>
      </c>
      <c r="Q30" t="b">
        <f t="shared" si="0"/>
        <v>1</v>
      </c>
    </row>
    <row r="31" spans="1:17" x14ac:dyDescent="0.25">
      <c r="A31" s="2" t="s">
        <v>78</v>
      </c>
      <c r="B31" s="2" t="s">
        <v>30</v>
      </c>
      <c r="C31" s="4">
        <v>45720</v>
      </c>
      <c r="D31" s="2" t="s">
        <v>59</v>
      </c>
      <c r="E31" s="2" t="s">
        <v>66</v>
      </c>
      <c r="F31" s="3">
        <v>432</v>
      </c>
      <c r="G31" s="2">
        <v>624</v>
      </c>
      <c r="H31" s="2">
        <v>123</v>
      </c>
      <c r="I31" s="3">
        <v>6912</v>
      </c>
      <c r="J31" s="3">
        <v>6259</v>
      </c>
      <c r="K31" s="2">
        <v>79</v>
      </c>
      <c r="L31" s="2" t="s">
        <v>51</v>
      </c>
      <c r="M31" s="2"/>
      <c r="N31" s="2"/>
      <c r="O31" s="2" t="s">
        <v>34</v>
      </c>
      <c r="Q31" t="b">
        <f t="shared" si="0"/>
        <v>1</v>
      </c>
    </row>
    <row r="32" spans="1:17" x14ac:dyDescent="0.25">
      <c r="A32" s="2" t="s">
        <v>79</v>
      </c>
      <c r="B32" s="2" t="s">
        <v>30</v>
      </c>
      <c r="C32" s="4">
        <v>45688</v>
      </c>
      <c r="D32" s="2" t="s">
        <v>39</v>
      </c>
      <c r="E32" s="2" t="s">
        <v>68</v>
      </c>
      <c r="F32" s="3">
        <v>2566</v>
      </c>
      <c r="G32" s="2">
        <v>118</v>
      </c>
      <c r="H32" s="2">
        <v>37</v>
      </c>
      <c r="I32" s="3">
        <v>12830</v>
      </c>
      <c r="J32" s="3">
        <v>12264</v>
      </c>
      <c r="K32" s="2">
        <v>221</v>
      </c>
      <c r="L32" s="2" t="s">
        <v>51</v>
      </c>
      <c r="M32" s="2"/>
      <c r="N32" s="2"/>
      <c r="O32" s="2" t="s">
        <v>28</v>
      </c>
      <c r="Q32" t="b">
        <f t="shared" si="0"/>
        <v>1</v>
      </c>
    </row>
    <row r="33" spans="1:17" x14ac:dyDescent="0.25">
      <c r="A33" s="2" t="s">
        <v>80</v>
      </c>
      <c r="B33" s="2" t="s">
        <v>30</v>
      </c>
      <c r="C33" s="4">
        <v>45713</v>
      </c>
      <c r="D33" s="2" t="s">
        <v>59</v>
      </c>
      <c r="E33" s="2" t="s">
        <v>66</v>
      </c>
      <c r="F33" s="3">
        <v>3095</v>
      </c>
      <c r="G33" s="2">
        <v>39</v>
      </c>
      <c r="H33" s="2">
        <v>78</v>
      </c>
      <c r="I33" s="3">
        <v>55710</v>
      </c>
      <c r="J33" s="3">
        <v>54808</v>
      </c>
      <c r="K33" s="2">
        <v>93</v>
      </c>
      <c r="L33" s="2" t="s">
        <v>33</v>
      </c>
      <c r="M33" s="2"/>
      <c r="N33" s="2"/>
      <c r="Q33" t="b">
        <f t="shared" si="0"/>
        <v>1</v>
      </c>
    </row>
    <row r="34" spans="1:17" x14ac:dyDescent="0.25">
      <c r="A34" s="2" t="s">
        <v>81</v>
      </c>
      <c r="B34" s="2" t="s">
        <v>30</v>
      </c>
      <c r="C34" s="4">
        <v>45642</v>
      </c>
      <c r="D34" s="2" t="s">
        <v>20</v>
      </c>
      <c r="E34" s="2" t="s">
        <v>82</v>
      </c>
      <c r="F34" s="3">
        <v>438</v>
      </c>
      <c r="G34" s="2">
        <v>153</v>
      </c>
      <c r="H34" s="2">
        <v>275</v>
      </c>
      <c r="I34" s="3">
        <v>3066</v>
      </c>
      <c r="J34" s="3">
        <v>2701</v>
      </c>
      <c r="K34" s="2">
        <v>282</v>
      </c>
      <c r="L34" s="2" t="s">
        <v>27</v>
      </c>
      <c r="M34" s="2"/>
      <c r="N34" s="2"/>
      <c r="O34" s="2" t="s">
        <v>23</v>
      </c>
      <c r="Q34" t="b">
        <f t="shared" si="0"/>
        <v>1</v>
      </c>
    </row>
    <row r="35" spans="1:17" x14ac:dyDescent="0.25">
      <c r="A35" s="2" t="s">
        <v>83</v>
      </c>
      <c r="B35" s="2" t="s">
        <v>14</v>
      </c>
      <c r="C35" s="4">
        <v>45504</v>
      </c>
      <c r="D35" s="2" t="s">
        <v>39</v>
      </c>
      <c r="E35" s="2" t="s">
        <v>42</v>
      </c>
      <c r="F35" s="3">
        <v>2278</v>
      </c>
      <c r="G35" s="2">
        <v>10</v>
      </c>
      <c r="H35" s="2">
        <v>321</v>
      </c>
      <c r="I35" s="3">
        <v>13668</v>
      </c>
      <c r="J35" s="3">
        <v>12676</v>
      </c>
      <c r="K35" s="2">
        <v>275</v>
      </c>
      <c r="L35" s="2" t="s">
        <v>33</v>
      </c>
      <c r="M35" s="2"/>
      <c r="N35" s="2"/>
      <c r="O35" s="2" t="s">
        <v>18</v>
      </c>
      <c r="Q35" t="b">
        <f t="shared" si="0"/>
        <v>1</v>
      </c>
    </row>
    <row r="36" spans="1:17" x14ac:dyDescent="0.25">
      <c r="A36" s="2" t="s">
        <v>84</v>
      </c>
      <c r="B36" s="2" t="s">
        <v>38</v>
      </c>
      <c r="C36" s="4">
        <v>45525</v>
      </c>
      <c r="D36" s="2" t="s">
        <v>44</v>
      </c>
      <c r="E36" s="2" t="s">
        <v>49</v>
      </c>
      <c r="F36" s="3">
        <v>1407</v>
      </c>
      <c r="G36" s="2">
        <v>400</v>
      </c>
      <c r="H36" s="2">
        <v>351</v>
      </c>
      <c r="I36" s="3">
        <v>16884</v>
      </c>
      <c r="J36" s="3">
        <v>15954</v>
      </c>
      <c r="K36" s="2">
        <v>113</v>
      </c>
      <c r="L36" s="2" t="s">
        <v>27</v>
      </c>
      <c r="M36" s="2"/>
      <c r="N36" s="2"/>
      <c r="O36" s="2" t="s">
        <v>18</v>
      </c>
      <c r="Q36" t="b">
        <f t="shared" si="0"/>
        <v>1</v>
      </c>
    </row>
    <row r="37" spans="1:17" x14ac:dyDescent="0.25">
      <c r="A37" s="2" t="s">
        <v>85</v>
      </c>
      <c r="B37" s="2" t="s">
        <v>38</v>
      </c>
      <c r="C37" s="4">
        <v>45742</v>
      </c>
      <c r="D37" s="2" t="s">
        <v>20</v>
      </c>
      <c r="E37" s="2" t="s">
        <v>47</v>
      </c>
      <c r="F37" s="3">
        <v>1652</v>
      </c>
      <c r="G37" s="2">
        <v>89</v>
      </c>
      <c r="H37" s="2">
        <v>357</v>
      </c>
      <c r="I37" s="3">
        <v>29736</v>
      </c>
      <c r="J37" s="3">
        <v>28771</v>
      </c>
      <c r="K37" s="2">
        <v>215</v>
      </c>
      <c r="L37" s="2" t="s">
        <v>27</v>
      </c>
      <c r="M37" s="2"/>
      <c r="N37" s="2"/>
      <c r="O37" s="2" t="s">
        <v>28</v>
      </c>
      <c r="Q37" t="b">
        <f t="shared" si="0"/>
        <v>1</v>
      </c>
    </row>
    <row r="38" spans="1:17" x14ac:dyDescent="0.25">
      <c r="A38" s="2" t="s">
        <v>86</v>
      </c>
      <c r="B38" s="2" t="s">
        <v>30</v>
      </c>
      <c r="C38" s="4">
        <v>45626</v>
      </c>
      <c r="D38" s="2" t="s">
        <v>59</v>
      </c>
      <c r="E38" s="2" t="s">
        <v>66</v>
      </c>
      <c r="F38" s="3">
        <v>3775</v>
      </c>
      <c r="G38" s="2">
        <v>16</v>
      </c>
      <c r="H38" s="2">
        <v>239</v>
      </c>
      <c r="I38" s="3">
        <v>33975</v>
      </c>
      <c r="J38" s="3">
        <v>33310</v>
      </c>
      <c r="K38" s="2">
        <v>271</v>
      </c>
      <c r="L38" s="2" t="s">
        <v>51</v>
      </c>
      <c r="M38" s="2"/>
      <c r="N38" s="2"/>
      <c r="O38" s="2" t="s">
        <v>23</v>
      </c>
      <c r="Q38" t="b">
        <f t="shared" si="0"/>
        <v>1</v>
      </c>
    </row>
    <row r="39" spans="1:17" x14ac:dyDescent="0.25">
      <c r="A39" s="2" t="s">
        <v>87</v>
      </c>
      <c r="B39" s="2" t="s">
        <v>30</v>
      </c>
      <c r="C39" s="4">
        <v>45766</v>
      </c>
      <c r="D39" s="2" t="s">
        <v>31</v>
      </c>
      <c r="E39" s="2" t="s">
        <v>32</v>
      </c>
      <c r="F39" s="3">
        <v>4518</v>
      </c>
      <c r="G39" s="2">
        <v>285</v>
      </c>
      <c r="H39" s="2">
        <v>383</v>
      </c>
      <c r="I39" s="3">
        <v>67770</v>
      </c>
      <c r="J39" s="3">
        <v>67621</v>
      </c>
      <c r="K39" s="2">
        <v>31</v>
      </c>
      <c r="L39" s="2" t="s">
        <v>33</v>
      </c>
      <c r="M39" s="2"/>
      <c r="N39" s="2"/>
      <c r="O39" s="2" t="s">
        <v>23</v>
      </c>
      <c r="Q39" t="b">
        <f t="shared" si="0"/>
        <v>1</v>
      </c>
    </row>
    <row r="40" spans="1:17" x14ac:dyDescent="0.25">
      <c r="A40" s="2" t="s">
        <v>88</v>
      </c>
      <c r="B40" s="2" t="s">
        <v>38</v>
      </c>
      <c r="C40" s="4">
        <v>45663</v>
      </c>
      <c r="D40" s="2" t="s">
        <v>39</v>
      </c>
      <c r="E40" s="2" t="s">
        <v>40</v>
      </c>
      <c r="F40" s="3">
        <v>3024</v>
      </c>
      <c r="G40" s="2">
        <v>925</v>
      </c>
      <c r="H40" s="2">
        <v>350</v>
      </c>
      <c r="I40" s="3">
        <v>24192</v>
      </c>
      <c r="J40" s="3">
        <v>23518</v>
      </c>
      <c r="K40" s="2">
        <v>36</v>
      </c>
      <c r="L40" s="2" t="s">
        <v>33</v>
      </c>
      <c r="M40" s="2"/>
      <c r="N40" s="2"/>
      <c r="O40" s="2" t="s">
        <v>23</v>
      </c>
      <c r="Q40" t="b">
        <f t="shared" si="0"/>
        <v>1</v>
      </c>
    </row>
    <row r="41" spans="1:17" x14ac:dyDescent="0.25">
      <c r="A41" s="2" t="s">
        <v>89</v>
      </c>
      <c r="B41" s="2" t="s">
        <v>25</v>
      </c>
      <c r="C41" s="4">
        <v>45705</v>
      </c>
      <c r="D41" s="2" t="s">
        <v>15</v>
      </c>
      <c r="E41" s="2" t="s">
        <v>26</v>
      </c>
      <c r="F41" s="3">
        <v>3138</v>
      </c>
      <c r="G41" s="2">
        <v>123</v>
      </c>
      <c r="H41" s="2">
        <v>291</v>
      </c>
      <c r="I41" s="3">
        <v>28242</v>
      </c>
      <c r="J41" s="3">
        <v>27550</v>
      </c>
      <c r="K41" s="2">
        <v>87</v>
      </c>
      <c r="L41" s="2" t="s">
        <v>27</v>
      </c>
      <c r="M41" s="2"/>
      <c r="N41" s="2"/>
      <c r="O41" s="2" t="s">
        <v>34</v>
      </c>
      <c r="Q41" t="b">
        <f t="shared" si="0"/>
        <v>1</v>
      </c>
    </row>
    <row r="42" spans="1:17" x14ac:dyDescent="0.25">
      <c r="A42" s="2" t="s">
        <v>90</v>
      </c>
      <c r="B42" s="2" t="s">
        <v>38</v>
      </c>
      <c r="C42" s="4">
        <v>45621</v>
      </c>
      <c r="D42" s="2" t="s">
        <v>44</v>
      </c>
      <c r="E42" s="2" t="s">
        <v>49</v>
      </c>
      <c r="F42" s="3">
        <v>3564</v>
      </c>
      <c r="G42" s="2">
        <v>629</v>
      </c>
      <c r="H42" s="2">
        <v>177</v>
      </c>
      <c r="I42" s="3">
        <v>60588</v>
      </c>
      <c r="J42" s="3">
        <v>59627</v>
      </c>
      <c r="K42" s="2">
        <v>92</v>
      </c>
      <c r="L42" s="2" t="s">
        <v>27</v>
      </c>
      <c r="M42" s="2"/>
      <c r="N42" s="2"/>
      <c r="Q42" t="b">
        <f t="shared" si="0"/>
        <v>1</v>
      </c>
    </row>
    <row r="43" spans="1:17" x14ac:dyDescent="0.25">
      <c r="A43" s="2" t="s">
        <v>91</v>
      </c>
      <c r="B43" s="2" t="s">
        <v>14</v>
      </c>
      <c r="C43" s="4">
        <v>45723</v>
      </c>
      <c r="D43" s="2" t="s">
        <v>44</v>
      </c>
      <c r="E43" s="2" t="s">
        <v>92</v>
      </c>
      <c r="F43" s="3">
        <v>4750</v>
      </c>
      <c r="G43" s="2">
        <v>151</v>
      </c>
      <c r="H43" s="2">
        <v>415</v>
      </c>
      <c r="I43" s="3">
        <v>38000</v>
      </c>
      <c r="J43" s="3">
        <v>37792</v>
      </c>
      <c r="K43" s="2">
        <v>299</v>
      </c>
      <c r="L43" s="2" t="s">
        <v>33</v>
      </c>
      <c r="M43" s="2"/>
      <c r="N43" s="2"/>
      <c r="O43" s="2" t="s">
        <v>34</v>
      </c>
      <c r="Q43" t="b">
        <f t="shared" si="0"/>
        <v>1</v>
      </c>
    </row>
    <row r="44" spans="1:17" x14ac:dyDescent="0.25">
      <c r="A44" s="2" t="s">
        <v>93</v>
      </c>
      <c r="B44" s="2" t="s">
        <v>30</v>
      </c>
      <c r="C44" s="4">
        <v>45724</v>
      </c>
      <c r="D44" s="2" t="s">
        <v>15</v>
      </c>
      <c r="E44" s="2" t="s">
        <v>64</v>
      </c>
      <c r="F44" s="3">
        <v>456</v>
      </c>
      <c r="G44" s="2">
        <v>629</v>
      </c>
      <c r="H44" s="2">
        <v>428</v>
      </c>
      <c r="I44" s="3">
        <v>8208</v>
      </c>
      <c r="J44" s="3">
        <v>7377</v>
      </c>
      <c r="K44" s="2">
        <v>205</v>
      </c>
      <c r="L44" s="2" t="s">
        <v>51</v>
      </c>
      <c r="M44" s="2"/>
      <c r="N44" s="2"/>
      <c r="O44" s="2" t="s">
        <v>34</v>
      </c>
      <c r="Q44" t="b">
        <f t="shared" si="0"/>
        <v>1</v>
      </c>
    </row>
    <row r="45" spans="1:17" x14ac:dyDescent="0.25">
      <c r="A45" s="2" t="s">
        <v>94</v>
      </c>
      <c r="B45" s="2" t="s">
        <v>25</v>
      </c>
      <c r="C45" s="4">
        <v>45721</v>
      </c>
      <c r="D45" s="2" t="s">
        <v>15</v>
      </c>
      <c r="E45" s="2" t="s">
        <v>26</v>
      </c>
      <c r="F45" s="3">
        <v>1543</v>
      </c>
      <c r="G45" s="2">
        <v>820</v>
      </c>
      <c r="H45" s="2">
        <v>333</v>
      </c>
      <c r="I45" s="3">
        <v>12344</v>
      </c>
      <c r="J45" s="3">
        <v>11496</v>
      </c>
      <c r="K45" s="2">
        <v>241</v>
      </c>
      <c r="L45" s="2" t="s">
        <v>33</v>
      </c>
      <c r="M45" s="2"/>
      <c r="N45" s="2"/>
      <c r="Q45" t="b">
        <f t="shared" si="0"/>
        <v>1</v>
      </c>
    </row>
    <row r="46" spans="1:17" x14ac:dyDescent="0.25">
      <c r="A46" s="2" t="s">
        <v>95</v>
      </c>
      <c r="B46" s="2" t="s">
        <v>30</v>
      </c>
      <c r="C46" s="4">
        <v>45640</v>
      </c>
      <c r="D46" s="2" t="s">
        <v>39</v>
      </c>
      <c r="E46" s="2" t="s">
        <v>68</v>
      </c>
      <c r="F46" s="3">
        <v>2174</v>
      </c>
      <c r="G46" s="2">
        <v>658</v>
      </c>
      <c r="H46" s="2">
        <v>15</v>
      </c>
      <c r="I46" s="3">
        <v>13044</v>
      </c>
      <c r="J46" s="3">
        <v>12206</v>
      </c>
      <c r="K46" s="2">
        <v>137</v>
      </c>
      <c r="L46" s="2" t="s">
        <v>27</v>
      </c>
      <c r="M46" s="2"/>
      <c r="N46" s="2"/>
      <c r="O46" s="2" t="s">
        <v>28</v>
      </c>
      <c r="Q46" t="b">
        <f t="shared" si="0"/>
        <v>1</v>
      </c>
    </row>
    <row r="47" spans="1:17" x14ac:dyDescent="0.25">
      <c r="A47" s="2" t="s">
        <v>96</v>
      </c>
      <c r="B47" s="2" t="s">
        <v>14</v>
      </c>
      <c r="C47" s="4">
        <v>45718</v>
      </c>
      <c r="D47" s="2" t="s">
        <v>44</v>
      </c>
      <c r="E47" s="2" t="s">
        <v>92</v>
      </c>
      <c r="F47" s="3">
        <v>2358</v>
      </c>
      <c r="G47" s="2">
        <v>784</v>
      </c>
      <c r="H47" s="2">
        <v>344</v>
      </c>
      <c r="I47" s="3">
        <v>35370</v>
      </c>
      <c r="J47" s="3">
        <v>34475</v>
      </c>
      <c r="K47" s="2">
        <v>216</v>
      </c>
      <c r="L47" s="2" t="s">
        <v>27</v>
      </c>
      <c r="M47" s="2"/>
      <c r="N47" s="2"/>
      <c r="Q47" t="b">
        <f t="shared" si="0"/>
        <v>1</v>
      </c>
    </row>
    <row r="48" spans="1:17" x14ac:dyDescent="0.25">
      <c r="A48" s="2" t="s">
        <v>97</v>
      </c>
      <c r="B48" s="2" t="s">
        <v>38</v>
      </c>
      <c r="C48" s="4">
        <v>45597</v>
      </c>
      <c r="D48" s="2" t="s">
        <v>59</v>
      </c>
      <c r="E48" s="2" t="s">
        <v>60</v>
      </c>
      <c r="F48" s="3">
        <v>3371</v>
      </c>
      <c r="G48" s="2">
        <v>106</v>
      </c>
      <c r="H48" s="2">
        <v>327</v>
      </c>
      <c r="I48" s="3">
        <v>50565</v>
      </c>
      <c r="J48" s="3">
        <v>49816</v>
      </c>
      <c r="K48" s="2">
        <v>176</v>
      </c>
      <c r="L48" s="2" t="s">
        <v>51</v>
      </c>
      <c r="M48" s="2"/>
      <c r="N48" s="2"/>
      <c r="O48" s="2" t="s">
        <v>18</v>
      </c>
      <c r="Q48" t="b">
        <f t="shared" si="0"/>
        <v>1</v>
      </c>
    </row>
    <row r="49" spans="1:17" x14ac:dyDescent="0.25">
      <c r="A49" s="2" t="s">
        <v>98</v>
      </c>
      <c r="B49" s="2" t="s">
        <v>14</v>
      </c>
      <c r="C49" s="4">
        <v>45779</v>
      </c>
      <c r="D49" s="2" t="s">
        <v>59</v>
      </c>
      <c r="E49" s="2" t="s">
        <v>99</v>
      </c>
      <c r="F49" s="3">
        <v>1108</v>
      </c>
      <c r="G49" s="2">
        <v>177</v>
      </c>
      <c r="H49" s="2">
        <v>212</v>
      </c>
      <c r="I49" s="3">
        <v>8864</v>
      </c>
      <c r="J49" s="3">
        <v>8710</v>
      </c>
      <c r="K49" s="2">
        <v>97</v>
      </c>
      <c r="L49" s="2" t="s">
        <v>27</v>
      </c>
      <c r="M49" s="2"/>
      <c r="N49" s="2"/>
      <c r="O49" s="2" t="s">
        <v>34</v>
      </c>
      <c r="Q49" t="b">
        <f t="shared" si="0"/>
        <v>1</v>
      </c>
    </row>
    <row r="50" spans="1:17" x14ac:dyDescent="0.25">
      <c r="A50" s="2" t="s">
        <v>100</v>
      </c>
      <c r="B50" s="2" t="s">
        <v>14</v>
      </c>
      <c r="C50" s="4">
        <v>45712</v>
      </c>
      <c r="D50" s="2" t="s">
        <v>39</v>
      </c>
      <c r="E50" s="2" t="s">
        <v>42</v>
      </c>
      <c r="F50" s="3">
        <v>2704</v>
      </c>
      <c r="G50" s="2">
        <v>752</v>
      </c>
      <c r="H50" s="2">
        <v>153</v>
      </c>
      <c r="I50" s="3">
        <v>21632</v>
      </c>
      <c r="J50" s="3">
        <v>20792</v>
      </c>
      <c r="K50" s="2">
        <v>127</v>
      </c>
      <c r="L50" s="2" t="s">
        <v>51</v>
      </c>
      <c r="M50" s="2"/>
      <c r="N50" s="2"/>
      <c r="Q50" t="b">
        <f t="shared" si="0"/>
        <v>1</v>
      </c>
    </row>
    <row r="51" spans="1:17" x14ac:dyDescent="0.25">
      <c r="A51" s="2" t="s">
        <v>101</v>
      </c>
      <c r="B51" s="2" t="s">
        <v>14</v>
      </c>
      <c r="C51" s="4">
        <v>45727</v>
      </c>
      <c r="D51" s="2" t="s">
        <v>31</v>
      </c>
      <c r="E51" s="2" t="s">
        <v>102</v>
      </c>
      <c r="F51" s="3">
        <v>1950</v>
      </c>
      <c r="G51" s="2">
        <v>295</v>
      </c>
      <c r="H51" s="2">
        <v>478</v>
      </c>
      <c r="I51" s="3">
        <v>37050</v>
      </c>
      <c r="J51" s="3">
        <v>36272</v>
      </c>
      <c r="K51" s="2">
        <v>119</v>
      </c>
      <c r="L51" s="2" t="s">
        <v>27</v>
      </c>
      <c r="M51" s="2"/>
      <c r="N51" s="2"/>
      <c r="Q51" t="b">
        <f t="shared" si="0"/>
        <v>1</v>
      </c>
    </row>
    <row r="52" spans="1:17" x14ac:dyDescent="0.25">
      <c r="A52" s="2" t="s">
        <v>103</v>
      </c>
      <c r="B52" s="2" t="s">
        <v>14</v>
      </c>
      <c r="C52" s="4">
        <v>45453</v>
      </c>
      <c r="D52" s="2" t="s">
        <v>31</v>
      </c>
      <c r="E52" s="2" t="s">
        <v>102</v>
      </c>
      <c r="F52" s="3">
        <v>2164</v>
      </c>
      <c r="G52" s="2">
        <v>549</v>
      </c>
      <c r="H52" s="2">
        <v>274</v>
      </c>
      <c r="I52" s="3">
        <v>28132</v>
      </c>
      <c r="J52" s="3">
        <v>27361</v>
      </c>
      <c r="K52" s="2">
        <v>177</v>
      </c>
      <c r="L52" s="2" t="s">
        <v>27</v>
      </c>
      <c r="M52" s="2"/>
      <c r="N52" s="2"/>
      <c r="O52" s="2" t="s">
        <v>34</v>
      </c>
      <c r="Q52" t="b">
        <f t="shared" si="0"/>
        <v>1</v>
      </c>
    </row>
    <row r="53" spans="1:17" x14ac:dyDescent="0.25">
      <c r="A53" s="2" t="s">
        <v>104</v>
      </c>
      <c r="B53" s="2" t="s">
        <v>25</v>
      </c>
      <c r="C53" s="4">
        <v>45476</v>
      </c>
      <c r="D53" s="2" t="s">
        <v>31</v>
      </c>
      <c r="E53" s="2" t="s">
        <v>105</v>
      </c>
      <c r="F53" s="3">
        <v>2754</v>
      </c>
      <c r="G53" s="2">
        <v>130</v>
      </c>
      <c r="H53" s="2">
        <v>90</v>
      </c>
      <c r="I53" s="3">
        <v>22032</v>
      </c>
      <c r="J53" s="3">
        <v>21288</v>
      </c>
      <c r="K53" s="2">
        <v>112</v>
      </c>
      <c r="L53" s="2" t="s">
        <v>27</v>
      </c>
      <c r="M53" s="2"/>
      <c r="N53" s="2"/>
      <c r="O53" s="2" t="s">
        <v>28</v>
      </c>
      <c r="Q53" t="b">
        <f t="shared" si="0"/>
        <v>1</v>
      </c>
    </row>
    <row r="54" spans="1:17" x14ac:dyDescent="0.25">
      <c r="A54" s="2" t="s">
        <v>106</v>
      </c>
      <c r="B54" s="2" t="s">
        <v>38</v>
      </c>
      <c r="C54" s="4">
        <v>45456</v>
      </c>
      <c r="D54" s="2" t="s">
        <v>39</v>
      </c>
      <c r="E54" s="2" t="s">
        <v>40</v>
      </c>
      <c r="F54" s="3">
        <v>2200</v>
      </c>
      <c r="G54" s="2">
        <v>504</v>
      </c>
      <c r="H54" s="2">
        <v>239</v>
      </c>
      <c r="I54" s="3">
        <v>37400</v>
      </c>
      <c r="J54" s="3">
        <v>36938</v>
      </c>
      <c r="K54" s="2">
        <v>225</v>
      </c>
      <c r="L54" s="2" t="s">
        <v>51</v>
      </c>
      <c r="M54" s="2"/>
      <c r="N54" s="2"/>
      <c r="O54" s="2" t="s">
        <v>23</v>
      </c>
      <c r="Q54" t="b">
        <f t="shared" si="0"/>
        <v>1</v>
      </c>
    </row>
    <row r="55" spans="1:17" x14ac:dyDescent="0.25">
      <c r="A55" s="2" t="s">
        <v>107</v>
      </c>
      <c r="B55" s="2" t="s">
        <v>38</v>
      </c>
      <c r="C55" s="4">
        <v>45660</v>
      </c>
      <c r="D55" s="2" t="s">
        <v>44</v>
      </c>
      <c r="E55" s="2" t="s">
        <v>49</v>
      </c>
      <c r="F55" s="3">
        <v>947</v>
      </c>
      <c r="G55" s="2">
        <v>338</v>
      </c>
      <c r="H55" s="2">
        <v>350</v>
      </c>
      <c r="I55" s="3">
        <v>10417</v>
      </c>
      <c r="J55" s="3">
        <v>9730</v>
      </c>
      <c r="K55" s="2">
        <v>34</v>
      </c>
      <c r="L55" s="2" t="s">
        <v>27</v>
      </c>
      <c r="M55" s="2"/>
      <c r="N55" s="2"/>
      <c r="O55" s="2" t="s">
        <v>34</v>
      </c>
      <c r="Q55" t="b">
        <f t="shared" si="0"/>
        <v>1</v>
      </c>
    </row>
    <row r="56" spans="1:17" x14ac:dyDescent="0.25">
      <c r="A56" s="2" t="s">
        <v>108</v>
      </c>
      <c r="B56" s="2" t="s">
        <v>25</v>
      </c>
      <c r="C56" s="4">
        <v>45712</v>
      </c>
      <c r="D56" s="2" t="s">
        <v>39</v>
      </c>
      <c r="E56" s="2" t="s">
        <v>55</v>
      </c>
      <c r="F56" s="3">
        <v>804</v>
      </c>
      <c r="G56" s="2">
        <v>639</v>
      </c>
      <c r="H56" s="2">
        <v>43</v>
      </c>
      <c r="I56" s="3">
        <v>4020</v>
      </c>
      <c r="J56" s="3">
        <v>3144</v>
      </c>
      <c r="K56" s="2">
        <v>11</v>
      </c>
      <c r="L56" s="2" t="s">
        <v>33</v>
      </c>
      <c r="M56" s="2" t="s">
        <v>380</v>
      </c>
      <c r="N56" s="2"/>
      <c r="Q56" t="b">
        <f t="shared" si="0"/>
        <v>1</v>
      </c>
    </row>
    <row r="57" spans="1:17" x14ac:dyDescent="0.25">
      <c r="A57" s="2" t="s">
        <v>110</v>
      </c>
      <c r="B57" s="2" t="s">
        <v>25</v>
      </c>
      <c r="C57" s="4">
        <v>45729</v>
      </c>
      <c r="D57" s="2" t="s">
        <v>39</v>
      </c>
      <c r="E57" s="2" t="s">
        <v>55</v>
      </c>
      <c r="F57" s="3">
        <v>1686</v>
      </c>
      <c r="G57" s="2">
        <v>904</v>
      </c>
      <c r="H57" s="2">
        <v>472</v>
      </c>
      <c r="I57" s="3">
        <v>18546</v>
      </c>
      <c r="J57" s="3">
        <v>18171</v>
      </c>
      <c r="K57" s="2">
        <v>52</v>
      </c>
      <c r="L57" s="2" t="s">
        <v>51</v>
      </c>
      <c r="M57" s="2"/>
      <c r="N57" s="2"/>
      <c r="O57" s="2" t="s">
        <v>23</v>
      </c>
      <c r="Q57" t="b">
        <f t="shared" si="0"/>
        <v>1</v>
      </c>
    </row>
    <row r="58" spans="1:17" x14ac:dyDescent="0.25">
      <c r="A58" s="2" t="s">
        <v>111</v>
      </c>
      <c r="B58" s="2" t="s">
        <v>38</v>
      </c>
      <c r="C58" s="4">
        <v>45460</v>
      </c>
      <c r="D58" s="2" t="s">
        <v>44</v>
      </c>
      <c r="E58" s="2" t="s">
        <v>49</v>
      </c>
      <c r="F58" s="3">
        <v>1226</v>
      </c>
      <c r="G58" s="2">
        <v>119</v>
      </c>
      <c r="H58" s="2">
        <v>7</v>
      </c>
      <c r="I58" s="3">
        <v>14712</v>
      </c>
      <c r="J58" s="3">
        <v>14049</v>
      </c>
      <c r="K58" s="2">
        <v>123</v>
      </c>
      <c r="L58" s="2" t="s">
        <v>33</v>
      </c>
      <c r="M58" s="2"/>
      <c r="N58" s="2"/>
      <c r="O58" s="2" t="s">
        <v>34</v>
      </c>
      <c r="Q58" t="b">
        <f t="shared" si="0"/>
        <v>1</v>
      </c>
    </row>
    <row r="59" spans="1:17" x14ac:dyDescent="0.25">
      <c r="A59" s="2" t="s">
        <v>112</v>
      </c>
      <c r="B59" s="2" t="s">
        <v>38</v>
      </c>
      <c r="C59" s="4">
        <v>45644</v>
      </c>
      <c r="D59" s="2" t="s">
        <v>39</v>
      </c>
      <c r="E59" s="2" t="s">
        <v>40</v>
      </c>
      <c r="F59" s="3">
        <v>2946</v>
      </c>
      <c r="G59" s="2">
        <v>498</v>
      </c>
      <c r="H59" s="2">
        <v>367</v>
      </c>
      <c r="I59" s="3">
        <v>29460</v>
      </c>
      <c r="J59" s="3">
        <v>28527</v>
      </c>
      <c r="K59" s="2">
        <v>60</v>
      </c>
      <c r="L59" s="2" t="s">
        <v>51</v>
      </c>
      <c r="M59" s="2"/>
      <c r="N59" s="2"/>
      <c r="O59" s="2" t="s">
        <v>28</v>
      </c>
      <c r="Q59" t="b">
        <f t="shared" si="0"/>
        <v>1</v>
      </c>
    </row>
    <row r="60" spans="1:17" x14ac:dyDescent="0.25">
      <c r="A60" s="2" t="s">
        <v>113</v>
      </c>
      <c r="B60" s="2" t="s">
        <v>14</v>
      </c>
      <c r="C60" s="4">
        <v>45586</v>
      </c>
      <c r="D60" s="2" t="s">
        <v>59</v>
      </c>
      <c r="E60" s="2" t="s">
        <v>99</v>
      </c>
      <c r="F60" s="3">
        <v>2825</v>
      </c>
      <c r="G60" s="2">
        <v>535</v>
      </c>
      <c r="H60" s="2">
        <v>295</v>
      </c>
      <c r="I60" s="3">
        <v>45200</v>
      </c>
      <c r="J60" s="3">
        <v>44739</v>
      </c>
      <c r="K60" s="2">
        <v>169</v>
      </c>
      <c r="L60" s="2" t="s">
        <v>27</v>
      </c>
      <c r="M60" s="2"/>
      <c r="N60" s="2"/>
      <c r="O60" s="2" t="s">
        <v>18</v>
      </c>
      <c r="Q60" t="b">
        <f t="shared" si="0"/>
        <v>1</v>
      </c>
    </row>
    <row r="61" spans="1:17" x14ac:dyDescent="0.25">
      <c r="A61" s="2" t="s">
        <v>114</v>
      </c>
      <c r="B61" s="2" t="s">
        <v>30</v>
      </c>
      <c r="C61" s="4">
        <v>45762</v>
      </c>
      <c r="D61" s="2" t="s">
        <v>15</v>
      </c>
      <c r="E61" s="2" t="s">
        <v>64</v>
      </c>
      <c r="F61" s="3">
        <v>103</v>
      </c>
      <c r="G61" s="2">
        <v>770</v>
      </c>
      <c r="H61" s="2">
        <v>19</v>
      </c>
      <c r="I61" s="3">
        <v>1030</v>
      </c>
      <c r="J61" s="3">
        <v>410</v>
      </c>
      <c r="K61" s="2">
        <v>262</v>
      </c>
      <c r="L61" s="2" t="s">
        <v>27</v>
      </c>
      <c r="M61" s="2"/>
      <c r="N61" s="2"/>
      <c r="O61" s="2" t="s">
        <v>34</v>
      </c>
      <c r="Q61" t="b">
        <f t="shared" si="0"/>
        <v>1</v>
      </c>
    </row>
    <row r="62" spans="1:17" x14ac:dyDescent="0.25">
      <c r="A62" s="2" t="s">
        <v>115</v>
      </c>
      <c r="B62" s="2" t="s">
        <v>30</v>
      </c>
      <c r="C62" s="4">
        <v>45465</v>
      </c>
      <c r="D62" s="2" t="s">
        <v>20</v>
      </c>
      <c r="E62" s="2" t="s">
        <v>82</v>
      </c>
      <c r="F62" s="3">
        <v>2180</v>
      </c>
      <c r="G62" s="2">
        <v>263</v>
      </c>
      <c r="H62" s="2">
        <v>387</v>
      </c>
      <c r="I62" s="3">
        <v>30520</v>
      </c>
      <c r="J62" s="3">
        <v>30059</v>
      </c>
      <c r="K62" s="2">
        <v>174</v>
      </c>
      <c r="L62" s="2" t="s">
        <v>33</v>
      </c>
      <c r="M62" s="2"/>
      <c r="N62" s="2"/>
      <c r="Q62" t="b">
        <f t="shared" si="0"/>
        <v>1</v>
      </c>
    </row>
    <row r="63" spans="1:17" x14ac:dyDescent="0.25">
      <c r="A63" s="2" t="s">
        <v>116</v>
      </c>
      <c r="B63" s="2" t="s">
        <v>30</v>
      </c>
      <c r="C63" s="4">
        <v>45685</v>
      </c>
      <c r="D63" s="2" t="s">
        <v>59</v>
      </c>
      <c r="E63" s="2" t="s">
        <v>66</v>
      </c>
      <c r="F63" s="3">
        <v>904</v>
      </c>
      <c r="G63" s="2">
        <v>973</v>
      </c>
      <c r="H63" s="2">
        <v>63</v>
      </c>
      <c r="I63" s="3">
        <v>11752</v>
      </c>
      <c r="J63" s="3">
        <v>11580</v>
      </c>
      <c r="K63" s="2">
        <v>84</v>
      </c>
      <c r="L63" s="2" t="s">
        <v>33</v>
      </c>
      <c r="M63" s="2" t="s">
        <v>27</v>
      </c>
      <c r="N63" s="2" t="s">
        <v>379</v>
      </c>
      <c r="O63" s="2" t="s">
        <v>28</v>
      </c>
      <c r="Q63" t="b">
        <f t="shared" si="0"/>
        <v>1</v>
      </c>
    </row>
    <row r="64" spans="1:17" x14ac:dyDescent="0.25">
      <c r="A64" s="2" t="s">
        <v>118</v>
      </c>
      <c r="B64" s="2" t="s">
        <v>14</v>
      </c>
      <c r="C64" s="4">
        <v>45540</v>
      </c>
      <c r="D64" s="2" t="s">
        <v>59</v>
      </c>
      <c r="E64" s="2" t="s">
        <v>99</v>
      </c>
      <c r="F64" s="3">
        <v>4886</v>
      </c>
      <c r="G64" s="2">
        <v>983</v>
      </c>
      <c r="H64" s="2">
        <v>409</v>
      </c>
      <c r="I64" s="3">
        <v>43974</v>
      </c>
      <c r="J64" s="3">
        <v>43239</v>
      </c>
      <c r="K64" s="2">
        <v>65</v>
      </c>
      <c r="L64" s="2" t="s">
        <v>27</v>
      </c>
      <c r="M64" s="2"/>
      <c r="N64" s="2"/>
      <c r="O64" s="2" t="s">
        <v>18</v>
      </c>
      <c r="Q64" t="b">
        <f t="shared" si="0"/>
        <v>1</v>
      </c>
    </row>
    <row r="65" spans="1:17" x14ac:dyDescent="0.25">
      <c r="A65" s="2" t="s">
        <v>119</v>
      </c>
      <c r="B65" s="2" t="s">
        <v>14</v>
      </c>
      <c r="C65" s="4">
        <v>45618</v>
      </c>
      <c r="D65" s="2" t="s">
        <v>39</v>
      </c>
      <c r="E65" s="2" t="s">
        <v>42</v>
      </c>
      <c r="F65" s="3">
        <v>53</v>
      </c>
      <c r="G65" s="2">
        <v>81</v>
      </c>
      <c r="H65" s="2">
        <v>379</v>
      </c>
      <c r="I65" s="3">
        <v>954</v>
      </c>
      <c r="J65" s="3">
        <v>7</v>
      </c>
      <c r="K65" s="2">
        <v>148</v>
      </c>
      <c r="L65" s="2" t="s">
        <v>27</v>
      </c>
      <c r="M65" s="2"/>
      <c r="N65" s="2"/>
      <c r="O65" s="2" t="s">
        <v>28</v>
      </c>
      <c r="Q65" t="b">
        <f t="shared" si="0"/>
        <v>1</v>
      </c>
    </row>
    <row r="66" spans="1:17" x14ac:dyDescent="0.25">
      <c r="A66" s="2" t="s">
        <v>120</v>
      </c>
      <c r="B66" s="2" t="s">
        <v>14</v>
      </c>
      <c r="C66" s="4">
        <v>45504</v>
      </c>
      <c r="D66" s="2" t="s">
        <v>39</v>
      </c>
      <c r="E66" s="2" t="s">
        <v>42</v>
      </c>
      <c r="F66" s="3">
        <v>4507</v>
      </c>
      <c r="G66" s="2">
        <v>217</v>
      </c>
      <c r="H66" s="2">
        <v>13</v>
      </c>
      <c r="I66" s="3">
        <v>90140</v>
      </c>
      <c r="J66" s="3">
        <v>89591</v>
      </c>
      <c r="K66" s="2">
        <v>125</v>
      </c>
      <c r="L66" s="2" t="s">
        <v>51</v>
      </c>
      <c r="M66" s="2"/>
      <c r="N66" s="2"/>
      <c r="O66" s="2" t="s">
        <v>28</v>
      </c>
      <c r="Q66" t="b">
        <f t="shared" si="0"/>
        <v>1</v>
      </c>
    </row>
    <row r="67" spans="1:17" x14ac:dyDescent="0.25">
      <c r="A67" s="2" t="s">
        <v>121</v>
      </c>
      <c r="B67" s="2" t="s">
        <v>38</v>
      </c>
      <c r="C67" s="4">
        <v>45521</v>
      </c>
      <c r="D67" s="2" t="s">
        <v>44</v>
      </c>
      <c r="E67" s="2" t="s">
        <v>49</v>
      </c>
      <c r="F67" s="3">
        <v>2878</v>
      </c>
      <c r="G67" s="2">
        <v>248</v>
      </c>
      <c r="H67" s="2">
        <v>416</v>
      </c>
      <c r="I67" s="3">
        <v>43170</v>
      </c>
      <c r="J67" s="3">
        <v>42667</v>
      </c>
      <c r="K67" s="2">
        <v>75</v>
      </c>
      <c r="L67" s="2" t="s">
        <v>51</v>
      </c>
      <c r="M67" s="2"/>
      <c r="N67" s="2"/>
      <c r="O67" s="2" t="s">
        <v>28</v>
      </c>
      <c r="Q67" t="b">
        <f t="shared" si="0"/>
        <v>1</v>
      </c>
    </row>
    <row r="68" spans="1:17" x14ac:dyDescent="0.25">
      <c r="A68" s="2" t="s">
        <v>122</v>
      </c>
      <c r="B68" s="2" t="s">
        <v>30</v>
      </c>
      <c r="C68" s="4">
        <v>45744</v>
      </c>
      <c r="D68" s="2" t="s">
        <v>31</v>
      </c>
      <c r="E68" s="2" t="s">
        <v>32</v>
      </c>
      <c r="F68" s="3">
        <v>1881</v>
      </c>
      <c r="G68" s="2">
        <v>501</v>
      </c>
      <c r="H68" s="2">
        <v>99</v>
      </c>
      <c r="I68" s="3">
        <v>20691</v>
      </c>
      <c r="J68" s="3">
        <v>19987</v>
      </c>
      <c r="K68" s="2">
        <v>289</v>
      </c>
      <c r="L68" s="2" t="s">
        <v>33</v>
      </c>
      <c r="M68" s="2"/>
      <c r="N68" s="2"/>
      <c r="Q68" t="b">
        <f t="shared" si="0"/>
        <v>1</v>
      </c>
    </row>
    <row r="69" spans="1:17" x14ac:dyDescent="0.25">
      <c r="A69" s="2" t="s">
        <v>123</v>
      </c>
      <c r="B69" s="2" t="s">
        <v>14</v>
      </c>
      <c r="C69" s="4">
        <v>45499</v>
      </c>
      <c r="D69" s="2" t="s">
        <v>39</v>
      </c>
      <c r="E69" s="2" t="s">
        <v>42</v>
      </c>
      <c r="F69" s="3">
        <v>432</v>
      </c>
      <c r="G69" s="2">
        <v>171</v>
      </c>
      <c r="H69" s="2">
        <v>280</v>
      </c>
      <c r="I69" s="3">
        <v>3024</v>
      </c>
      <c r="J69" s="3">
        <v>2285</v>
      </c>
      <c r="K69" s="2">
        <v>184</v>
      </c>
      <c r="L69" s="2" t="s">
        <v>33</v>
      </c>
      <c r="M69" s="2"/>
      <c r="N69" s="2"/>
      <c r="O69" s="2" t="s">
        <v>18</v>
      </c>
      <c r="Q69" t="b">
        <f t="shared" ref="Q69:Q132" si="1">EXACT(B69,SUBSTITUTE(PROPER(B69),"Youtube","YouTube"))</f>
        <v>1</v>
      </c>
    </row>
    <row r="70" spans="1:17" x14ac:dyDescent="0.25">
      <c r="A70" s="2" t="s">
        <v>124</v>
      </c>
      <c r="B70" s="2" t="s">
        <v>38</v>
      </c>
      <c r="C70" s="4">
        <v>45745</v>
      </c>
      <c r="D70" s="2" t="s">
        <v>39</v>
      </c>
      <c r="E70" s="2" t="s">
        <v>40</v>
      </c>
      <c r="F70" s="3">
        <v>4712</v>
      </c>
      <c r="G70" s="2">
        <v>568</v>
      </c>
      <c r="H70" s="2">
        <v>127</v>
      </c>
      <c r="I70" s="3">
        <v>84816</v>
      </c>
      <c r="J70" s="3">
        <v>84691</v>
      </c>
      <c r="K70" s="2">
        <v>100</v>
      </c>
      <c r="L70" s="2" t="s">
        <v>33</v>
      </c>
      <c r="M70" s="2"/>
      <c r="N70" s="2"/>
      <c r="O70" s="2" t="s">
        <v>28</v>
      </c>
      <c r="Q70" t="b">
        <f t="shared" si="1"/>
        <v>1</v>
      </c>
    </row>
    <row r="71" spans="1:17" x14ac:dyDescent="0.25">
      <c r="A71" s="2" t="s">
        <v>125</v>
      </c>
      <c r="B71" s="2" t="s">
        <v>30</v>
      </c>
      <c r="C71" s="4">
        <v>45634</v>
      </c>
      <c r="D71" s="2" t="s">
        <v>31</v>
      </c>
      <c r="E71" s="2" t="s">
        <v>32</v>
      </c>
      <c r="F71" s="3">
        <v>2610</v>
      </c>
      <c r="G71" s="2">
        <v>126</v>
      </c>
      <c r="H71" s="2">
        <v>288</v>
      </c>
      <c r="I71" s="3">
        <v>15660</v>
      </c>
      <c r="J71" s="3">
        <v>15145</v>
      </c>
      <c r="K71" s="2">
        <v>73</v>
      </c>
      <c r="L71" s="2" t="s">
        <v>33</v>
      </c>
      <c r="M71" s="2"/>
      <c r="N71" s="2"/>
      <c r="Q71" t="b">
        <f t="shared" si="1"/>
        <v>1</v>
      </c>
    </row>
    <row r="72" spans="1:17" x14ac:dyDescent="0.25">
      <c r="A72" s="2" t="s">
        <v>126</v>
      </c>
      <c r="B72" s="2" t="s">
        <v>14</v>
      </c>
      <c r="C72" s="4">
        <v>45724</v>
      </c>
      <c r="D72" s="2" t="s">
        <v>20</v>
      </c>
      <c r="E72" s="2" t="s">
        <v>21</v>
      </c>
      <c r="F72" s="3">
        <v>1292</v>
      </c>
      <c r="G72" s="2">
        <v>626</v>
      </c>
      <c r="H72" s="2">
        <v>496</v>
      </c>
      <c r="I72" s="3">
        <v>25840</v>
      </c>
      <c r="J72" s="3">
        <v>24916</v>
      </c>
      <c r="K72" s="2">
        <v>149</v>
      </c>
      <c r="L72" s="2" t="s">
        <v>51</v>
      </c>
      <c r="M72" s="2"/>
      <c r="N72" s="2"/>
      <c r="O72" s="2" t="s">
        <v>28</v>
      </c>
      <c r="Q72" t="b">
        <f t="shared" si="1"/>
        <v>1</v>
      </c>
    </row>
    <row r="73" spans="1:17" x14ac:dyDescent="0.25">
      <c r="A73" s="2" t="s">
        <v>127</v>
      </c>
      <c r="B73" s="2" t="s">
        <v>38</v>
      </c>
      <c r="C73" s="4">
        <v>45749</v>
      </c>
      <c r="D73" s="2" t="s">
        <v>59</v>
      </c>
      <c r="E73" s="2" t="s">
        <v>60</v>
      </c>
      <c r="F73" s="3">
        <v>199</v>
      </c>
      <c r="G73" s="2">
        <v>772</v>
      </c>
      <c r="H73" s="2">
        <v>400</v>
      </c>
      <c r="I73" s="3">
        <v>3582</v>
      </c>
      <c r="J73" s="3">
        <v>2988</v>
      </c>
      <c r="K73" s="2">
        <v>43</v>
      </c>
      <c r="L73" s="2" t="s">
        <v>27</v>
      </c>
      <c r="M73" s="2"/>
      <c r="N73" s="2"/>
      <c r="Q73" t="b">
        <f t="shared" si="1"/>
        <v>1</v>
      </c>
    </row>
    <row r="74" spans="1:17" x14ac:dyDescent="0.25">
      <c r="A74" s="2" t="s">
        <v>128</v>
      </c>
      <c r="B74" s="2" t="s">
        <v>25</v>
      </c>
      <c r="C74" s="4">
        <v>45537</v>
      </c>
      <c r="D74" s="2" t="s">
        <v>39</v>
      </c>
      <c r="E74" s="2" t="s">
        <v>55</v>
      </c>
      <c r="F74" s="3">
        <v>2551</v>
      </c>
      <c r="G74" s="2">
        <v>915</v>
      </c>
      <c r="H74" s="2">
        <v>205</v>
      </c>
      <c r="I74" s="3">
        <v>30612</v>
      </c>
      <c r="J74" s="3">
        <v>30360</v>
      </c>
      <c r="K74" s="2">
        <v>227</v>
      </c>
      <c r="L74" s="2" t="s">
        <v>27</v>
      </c>
      <c r="M74" s="2"/>
      <c r="N74" s="2"/>
      <c r="O74" s="2" t="s">
        <v>23</v>
      </c>
      <c r="Q74" t="b">
        <f t="shared" si="1"/>
        <v>1</v>
      </c>
    </row>
    <row r="75" spans="1:17" x14ac:dyDescent="0.25">
      <c r="A75" s="2" t="s">
        <v>129</v>
      </c>
      <c r="B75" s="2" t="s">
        <v>25</v>
      </c>
      <c r="C75" s="4">
        <v>45719</v>
      </c>
      <c r="D75" s="2" t="s">
        <v>15</v>
      </c>
      <c r="E75" s="2" t="s">
        <v>26</v>
      </c>
      <c r="F75" s="3">
        <v>296</v>
      </c>
      <c r="G75" s="2">
        <v>60</v>
      </c>
      <c r="H75" s="2">
        <v>141</v>
      </c>
      <c r="I75" s="3">
        <v>5624</v>
      </c>
      <c r="J75" s="3">
        <v>5239</v>
      </c>
      <c r="K75" s="2">
        <v>88</v>
      </c>
      <c r="L75" s="2" t="s">
        <v>33</v>
      </c>
      <c r="M75" s="2"/>
      <c r="N75" s="2"/>
      <c r="O75" s="2" t="s">
        <v>23</v>
      </c>
      <c r="Q75" t="b">
        <f t="shared" si="1"/>
        <v>1</v>
      </c>
    </row>
    <row r="76" spans="1:17" x14ac:dyDescent="0.25">
      <c r="A76" s="2" t="s">
        <v>130</v>
      </c>
      <c r="B76" s="2" t="s">
        <v>38</v>
      </c>
      <c r="C76" s="4">
        <v>45583</v>
      </c>
      <c r="D76" s="2" t="s">
        <v>31</v>
      </c>
      <c r="E76" s="2" t="s">
        <v>57</v>
      </c>
      <c r="F76" s="3">
        <v>4126</v>
      </c>
      <c r="G76" s="2">
        <v>426</v>
      </c>
      <c r="H76" s="2">
        <v>486</v>
      </c>
      <c r="I76" s="3">
        <v>78394</v>
      </c>
      <c r="J76" s="3">
        <v>77798</v>
      </c>
      <c r="K76" s="2">
        <v>88</v>
      </c>
      <c r="L76" s="2" t="s">
        <v>51</v>
      </c>
      <c r="M76" s="2"/>
      <c r="N76" s="2"/>
      <c r="O76" s="2" t="s">
        <v>34</v>
      </c>
      <c r="Q76" t="b">
        <f t="shared" si="1"/>
        <v>1</v>
      </c>
    </row>
    <row r="77" spans="1:17" x14ac:dyDescent="0.25">
      <c r="A77" s="2" t="s">
        <v>131</v>
      </c>
      <c r="B77" s="2" t="s">
        <v>25</v>
      </c>
      <c r="C77" s="4">
        <v>45593</v>
      </c>
      <c r="D77" s="2" t="s">
        <v>15</v>
      </c>
      <c r="E77" s="2" t="s">
        <v>26</v>
      </c>
      <c r="F77" s="3">
        <v>1855</v>
      </c>
      <c r="G77" s="2">
        <v>200</v>
      </c>
      <c r="H77" s="2">
        <v>174</v>
      </c>
      <c r="I77" s="3">
        <v>16695</v>
      </c>
      <c r="J77" s="3">
        <v>16330</v>
      </c>
      <c r="K77" s="2">
        <v>123</v>
      </c>
      <c r="L77" s="2" t="s">
        <v>27</v>
      </c>
      <c r="M77" s="2"/>
      <c r="N77" s="2"/>
      <c r="O77" s="2" t="s">
        <v>28</v>
      </c>
      <c r="Q77" t="b">
        <f t="shared" si="1"/>
        <v>1</v>
      </c>
    </row>
    <row r="78" spans="1:17" x14ac:dyDescent="0.25">
      <c r="A78" s="2" t="s">
        <v>132</v>
      </c>
      <c r="B78" s="2" t="s">
        <v>30</v>
      </c>
      <c r="C78" s="4">
        <v>45505</v>
      </c>
      <c r="D78" s="2" t="s">
        <v>15</v>
      </c>
      <c r="E78" s="2" t="s">
        <v>64</v>
      </c>
      <c r="F78" s="3">
        <v>1674</v>
      </c>
      <c r="G78" s="2">
        <v>929</v>
      </c>
      <c r="H78" s="2">
        <v>37</v>
      </c>
      <c r="I78" s="3">
        <v>21762</v>
      </c>
      <c r="J78" s="3">
        <v>20998</v>
      </c>
      <c r="K78" s="2">
        <v>255</v>
      </c>
      <c r="L78" s="2" t="s">
        <v>27</v>
      </c>
      <c r="M78" s="2"/>
      <c r="N78" s="2"/>
      <c r="O78" s="2" t="s">
        <v>34</v>
      </c>
      <c r="Q78" t="b">
        <f t="shared" si="1"/>
        <v>1</v>
      </c>
    </row>
    <row r="79" spans="1:17" x14ac:dyDescent="0.25">
      <c r="A79" s="2" t="s">
        <v>133</v>
      </c>
      <c r="B79" s="2" t="s">
        <v>14</v>
      </c>
      <c r="C79" s="4">
        <v>45603</v>
      </c>
      <c r="D79" s="2" t="s">
        <v>31</v>
      </c>
      <c r="E79" s="2" t="s">
        <v>102</v>
      </c>
      <c r="F79" s="3">
        <v>1121</v>
      </c>
      <c r="G79" s="2">
        <v>135</v>
      </c>
      <c r="H79" s="2">
        <v>18</v>
      </c>
      <c r="I79" s="3">
        <v>15694</v>
      </c>
      <c r="J79" s="3">
        <v>14957</v>
      </c>
      <c r="K79" s="2">
        <v>99</v>
      </c>
      <c r="L79" s="2" t="s">
        <v>27</v>
      </c>
      <c r="M79" s="2"/>
      <c r="N79" s="2"/>
      <c r="O79" s="2" t="s">
        <v>34</v>
      </c>
      <c r="Q79" t="b">
        <f t="shared" si="1"/>
        <v>1</v>
      </c>
    </row>
    <row r="80" spans="1:17" x14ac:dyDescent="0.25">
      <c r="A80" s="2" t="s">
        <v>134</v>
      </c>
      <c r="B80" s="2" t="s">
        <v>38</v>
      </c>
      <c r="C80" s="4">
        <v>45720</v>
      </c>
      <c r="D80" s="2" t="s">
        <v>31</v>
      </c>
      <c r="E80" s="2" t="s">
        <v>57</v>
      </c>
      <c r="F80" s="3">
        <v>1249</v>
      </c>
      <c r="G80" s="2">
        <v>116</v>
      </c>
      <c r="H80" s="2">
        <v>420</v>
      </c>
      <c r="I80" s="3">
        <v>8743</v>
      </c>
      <c r="J80" s="3">
        <v>8538</v>
      </c>
      <c r="K80" s="2">
        <v>63</v>
      </c>
      <c r="L80" s="2" t="s">
        <v>27</v>
      </c>
      <c r="M80" s="2"/>
      <c r="N80" s="2"/>
      <c r="Q80" t="b">
        <f t="shared" si="1"/>
        <v>1</v>
      </c>
    </row>
    <row r="81" spans="1:17" x14ac:dyDescent="0.25">
      <c r="A81" s="2" t="s">
        <v>135</v>
      </c>
      <c r="B81" s="2" t="s">
        <v>14</v>
      </c>
      <c r="C81" s="4">
        <v>45460</v>
      </c>
      <c r="D81" s="2" t="s">
        <v>44</v>
      </c>
      <c r="E81" s="2" t="s">
        <v>92</v>
      </c>
      <c r="F81" s="3">
        <v>954</v>
      </c>
      <c r="G81" s="2">
        <v>324</v>
      </c>
      <c r="H81" s="2">
        <v>288</v>
      </c>
      <c r="I81" s="3">
        <v>19080</v>
      </c>
      <c r="J81" s="3">
        <v>18859</v>
      </c>
      <c r="K81" s="2">
        <v>21</v>
      </c>
      <c r="L81" s="2" t="s">
        <v>51</v>
      </c>
      <c r="M81" s="2"/>
      <c r="N81" s="2"/>
      <c r="O81" s="2" t="s">
        <v>34</v>
      </c>
      <c r="Q81" t="b">
        <f t="shared" si="1"/>
        <v>1</v>
      </c>
    </row>
    <row r="82" spans="1:17" x14ac:dyDescent="0.25">
      <c r="A82" s="2" t="s">
        <v>136</v>
      </c>
      <c r="B82" s="2" t="s">
        <v>30</v>
      </c>
      <c r="C82" s="4">
        <v>45574</v>
      </c>
      <c r="D82" s="2" t="s">
        <v>39</v>
      </c>
      <c r="E82" s="2" t="s">
        <v>68</v>
      </c>
      <c r="F82" s="3">
        <v>3068</v>
      </c>
      <c r="G82" s="2">
        <v>137</v>
      </c>
      <c r="H82" s="2">
        <v>329</v>
      </c>
      <c r="I82" s="3">
        <v>39884</v>
      </c>
      <c r="J82" s="3">
        <v>39404</v>
      </c>
      <c r="K82" s="2">
        <v>266</v>
      </c>
      <c r="L82" s="2" t="s">
        <v>33</v>
      </c>
      <c r="M82" s="2"/>
      <c r="N82" s="2"/>
      <c r="O82" s="2" t="s">
        <v>23</v>
      </c>
      <c r="Q82" t="b">
        <f t="shared" si="1"/>
        <v>1</v>
      </c>
    </row>
    <row r="83" spans="1:17" x14ac:dyDescent="0.25">
      <c r="A83" s="2" t="s">
        <v>137</v>
      </c>
      <c r="B83" s="2" t="s">
        <v>30</v>
      </c>
      <c r="C83" s="4">
        <v>45456</v>
      </c>
      <c r="D83" s="2" t="s">
        <v>31</v>
      </c>
      <c r="E83" s="2" t="s">
        <v>32</v>
      </c>
      <c r="F83" s="3">
        <v>2103</v>
      </c>
      <c r="G83" s="2">
        <v>892</v>
      </c>
      <c r="H83" s="2">
        <v>103</v>
      </c>
      <c r="I83" s="3">
        <v>39957</v>
      </c>
      <c r="J83" s="3">
        <v>39466</v>
      </c>
      <c r="K83" s="2">
        <v>28</v>
      </c>
      <c r="L83" s="2" t="s">
        <v>51</v>
      </c>
      <c r="M83" s="2"/>
      <c r="N83" s="2"/>
      <c r="Q83" t="b">
        <f t="shared" si="1"/>
        <v>1</v>
      </c>
    </row>
    <row r="84" spans="1:17" x14ac:dyDescent="0.25">
      <c r="A84" s="2" t="s">
        <v>138</v>
      </c>
      <c r="B84" s="2" t="s">
        <v>30</v>
      </c>
      <c r="C84" s="4">
        <v>45584</v>
      </c>
      <c r="D84" s="2" t="s">
        <v>31</v>
      </c>
      <c r="E84" s="2" t="s">
        <v>32</v>
      </c>
      <c r="F84" s="3">
        <v>1816</v>
      </c>
      <c r="G84" s="2">
        <v>29</v>
      </c>
      <c r="H84" s="2">
        <v>41</v>
      </c>
      <c r="I84" s="3">
        <v>19976</v>
      </c>
      <c r="J84" s="3">
        <v>19262</v>
      </c>
      <c r="K84" s="2">
        <v>283</v>
      </c>
      <c r="L84" s="2" t="s">
        <v>27</v>
      </c>
      <c r="M84" s="2"/>
      <c r="N84" s="2"/>
      <c r="O84" s="2" t="s">
        <v>28</v>
      </c>
      <c r="Q84" t="b">
        <f t="shared" si="1"/>
        <v>1</v>
      </c>
    </row>
    <row r="85" spans="1:17" x14ac:dyDescent="0.25">
      <c r="A85" s="2" t="s">
        <v>139</v>
      </c>
      <c r="B85" s="2" t="s">
        <v>30</v>
      </c>
      <c r="C85" s="4">
        <v>45497</v>
      </c>
      <c r="D85" s="2" t="s">
        <v>44</v>
      </c>
      <c r="E85" s="2" t="s">
        <v>140</v>
      </c>
      <c r="F85" s="3">
        <v>725</v>
      </c>
      <c r="G85" s="2">
        <v>88</v>
      </c>
      <c r="H85" s="2">
        <v>428</v>
      </c>
      <c r="I85" s="3">
        <v>14500</v>
      </c>
      <c r="J85" s="3">
        <v>13637</v>
      </c>
      <c r="K85" s="2">
        <v>200</v>
      </c>
      <c r="L85" s="2" t="s">
        <v>51</v>
      </c>
      <c r="M85" s="2" t="s">
        <v>27</v>
      </c>
      <c r="N85" s="2" t="s">
        <v>379</v>
      </c>
      <c r="O85" s="2" t="s">
        <v>28</v>
      </c>
      <c r="Q85" t="b">
        <f t="shared" si="1"/>
        <v>1</v>
      </c>
    </row>
    <row r="86" spans="1:17" x14ac:dyDescent="0.25">
      <c r="A86" s="2" t="s">
        <v>142</v>
      </c>
      <c r="B86" s="2" t="s">
        <v>25</v>
      </c>
      <c r="C86" s="4">
        <v>45580</v>
      </c>
      <c r="D86" s="2" t="s">
        <v>59</v>
      </c>
      <c r="E86" s="2" t="s">
        <v>143</v>
      </c>
      <c r="F86" s="3">
        <v>1094</v>
      </c>
      <c r="G86" s="2">
        <v>472</v>
      </c>
      <c r="H86" s="2">
        <v>21</v>
      </c>
      <c r="I86" s="3">
        <v>9846</v>
      </c>
      <c r="J86" s="3">
        <v>9609</v>
      </c>
      <c r="K86" s="2">
        <v>112</v>
      </c>
      <c r="L86" s="2" t="s">
        <v>33</v>
      </c>
      <c r="M86" s="2"/>
      <c r="N86" s="2"/>
      <c r="Q86" t="b">
        <f t="shared" si="1"/>
        <v>1</v>
      </c>
    </row>
    <row r="87" spans="1:17" x14ac:dyDescent="0.25">
      <c r="A87" s="2" t="s">
        <v>144</v>
      </c>
      <c r="B87" s="2" t="s">
        <v>38</v>
      </c>
      <c r="C87" s="4">
        <v>45635</v>
      </c>
      <c r="D87" s="2" t="s">
        <v>44</v>
      </c>
      <c r="E87" s="2" t="s">
        <v>49</v>
      </c>
      <c r="F87" s="3">
        <v>1841</v>
      </c>
      <c r="G87" s="2">
        <v>851</v>
      </c>
      <c r="H87" s="2">
        <v>342</v>
      </c>
      <c r="I87" s="3">
        <v>34979</v>
      </c>
      <c r="J87" s="3">
        <v>34154</v>
      </c>
      <c r="K87" s="2">
        <v>255</v>
      </c>
      <c r="L87" s="2" t="s">
        <v>51</v>
      </c>
      <c r="M87" s="2"/>
      <c r="N87" s="2"/>
      <c r="O87" s="2" t="s">
        <v>34</v>
      </c>
      <c r="Q87" t="b">
        <f t="shared" si="1"/>
        <v>1</v>
      </c>
    </row>
    <row r="88" spans="1:17" x14ac:dyDescent="0.25">
      <c r="A88" s="2" t="s">
        <v>145</v>
      </c>
      <c r="B88" s="2" t="s">
        <v>30</v>
      </c>
      <c r="C88" s="4">
        <v>45766</v>
      </c>
      <c r="D88" s="2" t="s">
        <v>44</v>
      </c>
      <c r="E88" s="2" t="s">
        <v>140</v>
      </c>
      <c r="F88" s="3">
        <v>4177</v>
      </c>
      <c r="G88" s="2">
        <v>569</v>
      </c>
      <c r="H88" s="2">
        <v>55</v>
      </c>
      <c r="I88" s="3">
        <v>25062</v>
      </c>
      <c r="J88" s="3">
        <v>24847</v>
      </c>
      <c r="K88" s="2">
        <v>230</v>
      </c>
      <c r="L88" s="2" t="s">
        <v>51</v>
      </c>
      <c r="M88" s="2"/>
      <c r="N88" s="2"/>
      <c r="O88" s="2" t="s">
        <v>18</v>
      </c>
      <c r="Q88" t="b">
        <f t="shared" si="1"/>
        <v>1</v>
      </c>
    </row>
    <row r="89" spans="1:17" x14ac:dyDescent="0.25">
      <c r="A89" s="2" t="s">
        <v>146</v>
      </c>
      <c r="B89" s="2" t="s">
        <v>25</v>
      </c>
      <c r="C89" s="4">
        <v>45684</v>
      </c>
      <c r="D89" s="2" t="s">
        <v>20</v>
      </c>
      <c r="E89" s="2" t="s">
        <v>77</v>
      </c>
      <c r="F89" s="3">
        <v>3428</v>
      </c>
      <c r="G89" s="2">
        <v>305</v>
      </c>
      <c r="H89" s="2">
        <v>85</v>
      </c>
      <c r="I89" s="3">
        <v>58276</v>
      </c>
      <c r="J89" s="3">
        <v>58052</v>
      </c>
      <c r="K89" s="2">
        <v>242</v>
      </c>
      <c r="L89" s="2" t="s">
        <v>33</v>
      </c>
      <c r="M89" s="2" t="s">
        <v>380</v>
      </c>
      <c r="N89" s="2"/>
      <c r="O89" s="2" t="s">
        <v>34</v>
      </c>
      <c r="Q89" t="b">
        <f t="shared" si="1"/>
        <v>1</v>
      </c>
    </row>
    <row r="90" spans="1:17" x14ac:dyDescent="0.25">
      <c r="A90" s="2" t="s">
        <v>147</v>
      </c>
      <c r="B90" s="2" t="s">
        <v>14</v>
      </c>
      <c r="C90" s="4">
        <v>45449</v>
      </c>
      <c r="D90" s="2" t="s">
        <v>59</v>
      </c>
      <c r="E90" s="2" t="s">
        <v>99</v>
      </c>
      <c r="F90" s="3">
        <v>1436</v>
      </c>
      <c r="G90" s="2">
        <v>765</v>
      </c>
      <c r="H90" s="2">
        <v>496</v>
      </c>
      <c r="I90" s="3">
        <v>12924</v>
      </c>
      <c r="J90" s="3">
        <v>12701</v>
      </c>
      <c r="K90" s="2">
        <v>197</v>
      </c>
      <c r="L90" s="2" t="s">
        <v>51</v>
      </c>
      <c r="M90" s="2"/>
      <c r="N90" s="2"/>
      <c r="O90" s="2" t="s">
        <v>28</v>
      </c>
      <c r="Q90" t="b">
        <f t="shared" si="1"/>
        <v>1</v>
      </c>
    </row>
    <row r="91" spans="1:17" x14ac:dyDescent="0.25">
      <c r="A91" s="2" t="s">
        <v>148</v>
      </c>
      <c r="B91" s="2" t="s">
        <v>38</v>
      </c>
      <c r="C91" s="4">
        <v>45480</v>
      </c>
      <c r="D91" s="2" t="s">
        <v>31</v>
      </c>
      <c r="E91" s="2" t="s">
        <v>57</v>
      </c>
      <c r="F91" s="3">
        <v>302</v>
      </c>
      <c r="G91" s="2">
        <v>47</v>
      </c>
      <c r="H91" s="2">
        <v>430</v>
      </c>
      <c r="I91" s="3">
        <v>5738</v>
      </c>
      <c r="J91" s="3">
        <v>4890</v>
      </c>
      <c r="K91" s="2">
        <v>25</v>
      </c>
      <c r="L91" s="2" t="s">
        <v>27</v>
      </c>
      <c r="M91" s="2"/>
      <c r="N91" s="2"/>
      <c r="O91" s="2" t="s">
        <v>34</v>
      </c>
      <c r="Q91" t="b">
        <f t="shared" si="1"/>
        <v>1</v>
      </c>
    </row>
    <row r="92" spans="1:17" x14ac:dyDescent="0.25">
      <c r="A92" s="2" t="s">
        <v>149</v>
      </c>
      <c r="B92" s="2" t="s">
        <v>14</v>
      </c>
      <c r="C92" s="4">
        <v>45667</v>
      </c>
      <c r="D92" s="2" t="s">
        <v>44</v>
      </c>
      <c r="E92" s="2" t="s">
        <v>92</v>
      </c>
      <c r="F92" s="3">
        <v>2214</v>
      </c>
      <c r="G92" s="2">
        <v>249</v>
      </c>
      <c r="H92" s="2">
        <v>152</v>
      </c>
      <c r="I92" s="3">
        <v>15498</v>
      </c>
      <c r="J92" s="3">
        <v>14800</v>
      </c>
      <c r="K92" s="2">
        <v>180</v>
      </c>
      <c r="L92" s="2" t="s">
        <v>33</v>
      </c>
      <c r="M92" s="2"/>
      <c r="N92" s="2"/>
      <c r="Q92" t="b">
        <f t="shared" si="1"/>
        <v>1</v>
      </c>
    </row>
    <row r="93" spans="1:17" x14ac:dyDescent="0.25">
      <c r="A93" s="2" t="s">
        <v>150</v>
      </c>
      <c r="B93" s="2" t="s">
        <v>30</v>
      </c>
      <c r="C93" s="4">
        <v>45446</v>
      </c>
      <c r="D93" s="2" t="s">
        <v>44</v>
      </c>
      <c r="E93" s="2" t="s">
        <v>140</v>
      </c>
      <c r="F93" s="3">
        <v>3861</v>
      </c>
      <c r="G93" s="2">
        <v>960</v>
      </c>
      <c r="H93" s="2">
        <v>101</v>
      </c>
      <c r="I93" s="3">
        <v>69498</v>
      </c>
      <c r="J93" s="3">
        <v>68817</v>
      </c>
      <c r="K93" s="2">
        <v>297</v>
      </c>
      <c r="L93" s="2" t="s">
        <v>27</v>
      </c>
      <c r="M93" s="2"/>
      <c r="N93" s="2"/>
      <c r="O93" s="2" t="s">
        <v>34</v>
      </c>
      <c r="Q93" t="b">
        <f t="shared" si="1"/>
        <v>1</v>
      </c>
    </row>
    <row r="94" spans="1:17" x14ac:dyDescent="0.25">
      <c r="A94" s="2" t="s">
        <v>151</v>
      </c>
      <c r="B94" s="2" t="s">
        <v>38</v>
      </c>
      <c r="C94" s="4">
        <v>45740</v>
      </c>
      <c r="D94" s="2" t="s">
        <v>44</v>
      </c>
      <c r="E94" s="2" t="s">
        <v>49</v>
      </c>
      <c r="F94" s="3">
        <v>1263</v>
      </c>
      <c r="G94" s="2">
        <v>397</v>
      </c>
      <c r="H94" s="2">
        <v>357</v>
      </c>
      <c r="I94" s="3">
        <v>25260</v>
      </c>
      <c r="J94" s="3">
        <v>24615</v>
      </c>
      <c r="K94" s="2">
        <v>137</v>
      </c>
      <c r="L94" s="2" t="s">
        <v>33</v>
      </c>
      <c r="M94" s="2"/>
      <c r="N94" s="2"/>
      <c r="O94" s="2" t="s">
        <v>34</v>
      </c>
      <c r="Q94" t="b">
        <f t="shared" si="1"/>
        <v>1</v>
      </c>
    </row>
    <row r="95" spans="1:17" x14ac:dyDescent="0.25">
      <c r="A95" s="2" t="s">
        <v>152</v>
      </c>
      <c r="B95" s="2" t="s">
        <v>14</v>
      </c>
      <c r="C95" s="4">
        <v>45586</v>
      </c>
      <c r="D95" s="2" t="s">
        <v>31</v>
      </c>
      <c r="E95" s="2" t="s">
        <v>102</v>
      </c>
      <c r="F95" s="3">
        <v>3801</v>
      </c>
      <c r="G95" s="2">
        <v>967</v>
      </c>
      <c r="H95" s="2">
        <v>401</v>
      </c>
      <c r="I95" s="3">
        <v>38010</v>
      </c>
      <c r="J95" s="3">
        <v>37625</v>
      </c>
      <c r="K95" s="2">
        <v>236</v>
      </c>
      <c r="L95" s="2" t="s">
        <v>51</v>
      </c>
      <c r="M95" s="2"/>
      <c r="N95" s="2"/>
      <c r="O95" s="2" t="s">
        <v>28</v>
      </c>
      <c r="Q95" t="b">
        <f t="shared" si="1"/>
        <v>1</v>
      </c>
    </row>
    <row r="96" spans="1:17" x14ac:dyDescent="0.25">
      <c r="A96" s="2" t="s">
        <v>153</v>
      </c>
      <c r="B96" s="2" t="s">
        <v>30</v>
      </c>
      <c r="C96" s="4">
        <v>45637</v>
      </c>
      <c r="D96" s="2" t="s">
        <v>59</v>
      </c>
      <c r="E96" s="2" t="s">
        <v>66</v>
      </c>
      <c r="F96" s="3">
        <v>1431</v>
      </c>
      <c r="G96" s="2">
        <v>951</v>
      </c>
      <c r="H96" s="2">
        <v>26</v>
      </c>
      <c r="I96" s="3">
        <v>8586</v>
      </c>
      <c r="J96" s="3">
        <v>8396</v>
      </c>
      <c r="K96" s="2">
        <v>150</v>
      </c>
      <c r="L96" s="2" t="s">
        <v>33</v>
      </c>
      <c r="M96" s="2"/>
      <c r="N96" s="2"/>
      <c r="O96" s="2" t="s">
        <v>28</v>
      </c>
      <c r="Q96" t="b">
        <f t="shared" si="1"/>
        <v>1</v>
      </c>
    </row>
    <row r="97" spans="1:17" x14ac:dyDescent="0.25">
      <c r="A97" s="2" t="s">
        <v>154</v>
      </c>
      <c r="B97" s="2" t="s">
        <v>30</v>
      </c>
      <c r="C97" s="4">
        <v>45603</v>
      </c>
      <c r="D97" s="2" t="s">
        <v>44</v>
      </c>
      <c r="E97" s="2" t="s">
        <v>140</v>
      </c>
      <c r="F97" s="3">
        <v>2647</v>
      </c>
      <c r="G97" s="2">
        <v>304</v>
      </c>
      <c r="H97" s="2">
        <v>170</v>
      </c>
      <c r="I97" s="3">
        <v>18529</v>
      </c>
      <c r="J97" s="3">
        <v>17841</v>
      </c>
      <c r="K97" s="2">
        <v>46</v>
      </c>
      <c r="L97" s="2" t="s">
        <v>51</v>
      </c>
      <c r="M97" s="2"/>
      <c r="N97" s="2"/>
      <c r="O97" s="2" t="s">
        <v>28</v>
      </c>
      <c r="Q97" t="b">
        <f t="shared" si="1"/>
        <v>1</v>
      </c>
    </row>
    <row r="98" spans="1:17" x14ac:dyDescent="0.25">
      <c r="A98" s="2" t="s">
        <v>155</v>
      </c>
      <c r="B98" s="2" t="s">
        <v>30</v>
      </c>
      <c r="C98" s="4">
        <v>45604</v>
      </c>
      <c r="D98" s="2" t="s">
        <v>20</v>
      </c>
      <c r="E98" s="2" t="s">
        <v>82</v>
      </c>
      <c r="F98" s="3">
        <v>3182</v>
      </c>
      <c r="G98" s="2">
        <v>559</v>
      </c>
      <c r="H98" s="2">
        <v>160</v>
      </c>
      <c r="I98" s="3">
        <v>57276</v>
      </c>
      <c r="J98" s="3">
        <v>56890</v>
      </c>
      <c r="K98" s="2">
        <v>163</v>
      </c>
      <c r="L98" s="2" t="s">
        <v>51</v>
      </c>
      <c r="M98" s="2"/>
      <c r="N98" s="2"/>
      <c r="O98" s="2" t="s">
        <v>34</v>
      </c>
      <c r="Q98" t="b">
        <f t="shared" si="1"/>
        <v>1</v>
      </c>
    </row>
    <row r="99" spans="1:17" x14ac:dyDescent="0.25">
      <c r="A99" s="2" t="s">
        <v>156</v>
      </c>
      <c r="B99" s="2" t="s">
        <v>14</v>
      </c>
      <c r="C99" s="4">
        <v>45545</v>
      </c>
      <c r="D99" s="2" t="s">
        <v>44</v>
      </c>
      <c r="E99" s="2" t="s">
        <v>92</v>
      </c>
      <c r="F99" s="3">
        <v>1238</v>
      </c>
      <c r="G99" s="2">
        <v>366</v>
      </c>
      <c r="H99" s="2">
        <v>444</v>
      </c>
      <c r="I99" s="3">
        <v>19808</v>
      </c>
      <c r="J99" s="3">
        <v>19334</v>
      </c>
      <c r="K99" s="2">
        <v>123</v>
      </c>
      <c r="L99" s="2" t="s">
        <v>51</v>
      </c>
      <c r="M99" s="2"/>
      <c r="N99" s="2"/>
      <c r="Q99" t="b">
        <f t="shared" si="1"/>
        <v>1</v>
      </c>
    </row>
    <row r="100" spans="1:17" x14ac:dyDescent="0.25">
      <c r="A100" s="2" t="s">
        <v>157</v>
      </c>
      <c r="B100" s="2" t="s">
        <v>30</v>
      </c>
      <c r="C100" s="4">
        <v>45517</v>
      </c>
      <c r="D100" s="2" t="s">
        <v>44</v>
      </c>
      <c r="E100" s="2" t="s">
        <v>140</v>
      </c>
      <c r="F100" s="3">
        <v>4739</v>
      </c>
      <c r="G100" s="2">
        <v>527</v>
      </c>
      <c r="H100" s="2">
        <v>135</v>
      </c>
      <c r="I100" s="3">
        <v>61607</v>
      </c>
      <c r="J100" s="3">
        <v>61333</v>
      </c>
      <c r="K100" s="2">
        <v>36</v>
      </c>
      <c r="L100" s="2" t="s">
        <v>27</v>
      </c>
      <c r="M100" s="2" t="s">
        <v>379</v>
      </c>
      <c r="N100" s="2"/>
      <c r="O100" s="2" t="s">
        <v>23</v>
      </c>
      <c r="Q100" t="b">
        <f t="shared" si="1"/>
        <v>1</v>
      </c>
    </row>
    <row r="101" spans="1:17" x14ac:dyDescent="0.25">
      <c r="A101" s="2" t="s">
        <v>158</v>
      </c>
      <c r="B101" s="2" t="s">
        <v>14</v>
      </c>
      <c r="C101" s="4">
        <v>45453</v>
      </c>
      <c r="D101" s="2" t="s">
        <v>31</v>
      </c>
      <c r="E101" s="2" t="s">
        <v>102</v>
      </c>
      <c r="F101" s="3">
        <v>1575</v>
      </c>
      <c r="G101" s="2">
        <v>771</v>
      </c>
      <c r="H101" s="2">
        <v>486</v>
      </c>
      <c r="I101" s="3">
        <v>25200</v>
      </c>
      <c r="J101" s="3">
        <v>24826</v>
      </c>
      <c r="K101" s="2">
        <v>17</v>
      </c>
      <c r="L101" s="2" t="s">
        <v>51</v>
      </c>
      <c r="M101" s="2"/>
      <c r="N101" s="2"/>
      <c r="O101" s="2" t="s">
        <v>34</v>
      </c>
      <c r="Q101" t="b">
        <f t="shared" si="1"/>
        <v>1</v>
      </c>
    </row>
    <row r="102" spans="1:17" x14ac:dyDescent="0.25">
      <c r="A102" s="2" t="s">
        <v>159</v>
      </c>
      <c r="B102" s="2" t="s">
        <v>25</v>
      </c>
      <c r="C102" s="4">
        <v>45475</v>
      </c>
      <c r="D102" s="2" t="s">
        <v>39</v>
      </c>
      <c r="E102" s="2" t="s">
        <v>55</v>
      </c>
      <c r="F102" s="3">
        <v>4171</v>
      </c>
      <c r="G102" s="2">
        <v>548</v>
      </c>
      <c r="H102" s="2">
        <v>86</v>
      </c>
      <c r="I102" s="3">
        <v>66736</v>
      </c>
      <c r="J102" s="3">
        <v>66634</v>
      </c>
      <c r="K102" s="2">
        <v>173</v>
      </c>
      <c r="L102" s="2" t="s">
        <v>51</v>
      </c>
      <c r="M102" s="2"/>
      <c r="N102" s="2"/>
      <c r="O102" s="2" t="s">
        <v>28</v>
      </c>
      <c r="Q102" t="b">
        <f t="shared" si="1"/>
        <v>1</v>
      </c>
    </row>
    <row r="103" spans="1:17" x14ac:dyDescent="0.25">
      <c r="A103" s="2" t="s">
        <v>160</v>
      </c>
      <c r="B103" s="2" t="s">
        <v>25</v>
      </c>
      <c r="C103" s="4">
        <v>45698</v>
      </c>
      <c r="D103" s="2" t="s">
        <v>59</v>
      </c>
      <c r="E103" s="2" t="s">
        <v>143</v>
      </c>
      <c r="F103" s="3">
        <v>1766</v>
      </c>
      <c r="G103" s="2">
        <v>92</v>
      </c>
      <c r="H103" s="2">
        <v>424</v>
      </c>
      <c r="I103" s="3">
        <v>24724</v>
      </c>
      <c r="J103" s="3">
        <v>24333</v>
      </c>
      <c r="K103" s="2">
        <v>52</v>
      </c>
      <c r="L103" s="2" t="s">
        <v>33</v>
      </c>
      <c r="M103" s="2"/>
      <c r="N103" s="2"/>
      <c r="Q103" t="b">
        <f t="shared" si="1"/>
        <v>1</v>
      </c>
    </row>
    <row r="104" spans="1:17" x14ac:dyDescent="0.25">
      <c r="A104" s="2" t="s">
        <v>161</v>
      </c>
      <c r="B104" s="2" t="s">
        <v>25</v>
      </c>
      <c r="C104" s="4">
        <v>45583</v>
      </c>
      <c r="D104" s="2" t="s">
        <v>59</v>
      </c>
      <c r="E104" s="2" t="s">
        <v>143</v>
      </c>
      <c r="F104" s="3">
        <v>4450</v>
      </c>
      <c r="G104" s="2">
        <v>983</v>
      </c>
      <c r="H104" s="2">
        <v>143</v>
      </c>
      <c r="I104" s="3">
        <v>75650</v>
      </c>
      <c r="J104" s="3">
        <v>75008</v>
      </c>
      <c r="K104" s="2">
        <v>12</v>
      </c>
      <c r="L104" s="2" t="s">
        <v>51</v>
      </c>
      <c r="M104" s="2"/>
      <c r="N104" s="2"/>
      <c r="O104" s="2" t="s">
        <v>28</v>
      </c>
      <c r="Q104" t="b">
        <f t="shared" si="1"/>
        <v>1</v>
      </c>
    </row>
    <row r="105" spans="1:17" x14ac:dyDescent="0.25">
      <c r="A105" s="2" t="s">
        <v>162</v>
      </c>
      <c r="B105" s="2" t="s">
        <v>14</v>
      </c>
      <c r="C105" s="4">
        <v>45553</v>
      </c>
      <c r="D105" s="2" t="s">
        <v>15</v>
      </c>
      <c r="E105" s="2" t="s">
        <v>16</v>
      </c>
      <c r="F105" s="3">
        <v>1000</v>
      </c>
      <c r="G105" s="2">
        <v>978</v>
      </c>
      <c r="H105" s="2">
        <v>162</v>
      </c>
      <c r="I105" s="3">
        <v>6000</v>
      </c>
      <c r="J105" s="3">
        <v>5221</v>
      </c>
      <c r="K105" s="2">
        <v>223</v>
      </c>
      <c r="L105" s="2" t="s">
        <v>33</v>
      </c>
      <c r="M105" s="2"/>
      <c r="N105" s="2"/>
      <c r="O105" s="2" t="s">
        <v>23</v>
      </c>
      <c r="Q105" t="b">
        <f t="shared" si="1"/>
        <v>1</v>
      </c>
    </row>
    <row r="106" spans="1:17" x14ac:dyDescent="0.25">
      <c r="A106" s="2" t="s">
        <v>163</v>
      </c>
      <c r="B106" s="2" t="s">
        <v>38</v>
      </c>
      <c r="C106" s="4">
        <v>45454</v>
      </c>
      <c r="D106" s="2" t="s">
        <v>44</v>
      </c>
      <c r="E106" s="2" t="s">
        <v>49</v>
      </c>
      <c r="F106" s="3">
        <v>3689</v>
      </c>
      <c r="G106" s="2">
        <v>48</v>
      </c>
      <c r="H106" s="2">
        <v>306</v>
      </c>
      <c r="I106" s="3">
        <v>40579</v>
      </c>
      <c r="J106" s="3">
        <v>39588</v>
      </c>
      <c r="K106" s="2">
        <v>212</v>
      </c>
      <c r="L106" s="2" t="s">
        <v>33</v>
      </c>
      <c r="M106" s="2"/>
      <c r="N106" s="2"/>
      <c r="O106" s="2" t="s">
        <v>23</v>
      </c>
      <c r="Q106" t="b">
        <f t="shared" si="1"/>
        <v>1</v>
      </c>
    </row>
    <row r="107" spans="1:17" x14ac:dyDescent="0.25">
      <c r="A107" s="2" t="s">
        <v>164</v>
      </c>
      <c r="B107" s="2" t="s">
        <v>25</v>
      </c>
      <c r="C107" s="4">
        <v>45739</v>
      </c>
      <c r="D107" s="2" t="s">
        <v>31</v>
      </c>
      <c r="E107" s="2" t="s">
        <v>105</v>
      </c>
      <c r="F107" s="3">
        <v>3655</v>
      </c>
      <c r="G107" s="2">
        <v>568</v>
      </c>
      <c r="H107" s="2">
        <v>286</v>
      </c>
      <c r="I107" s="3">
        <v>32895</v>
      </c>
      <c r="J107" s="3">
        <v>32015</v>
      </c>
      <c r="K107" s="2">
        <v>199</v>
      </c>
      <c r="L107" s="2" t="s">
        <v>27</v>
      </c>
      <c r="M107" s="2"/>
      <c r="N107" s="2"/>
      <c r="O107" s="2" t="s">
        <v>28</v>
      </c>
      <c r="Q107" t="b">
        <f t="shared" si="1"/>
        <v>1</v>
      </c>
    </row>
    <row r="108" spans="1:17" x14ac:dyDescent="0.25">
      <c r="A108" s="2" t="s">
        <v>165</v>
      </c>
      <c r="B108" s="2" t="s">
        <v>30</v>
      </c>
      <c r="C108" s="4">
        <v>45457</v>
      </c>
      <c r="D108" s="2" t="s">
        <v>39</v>
      </c>
      <c r="E108" s="2" t="s">
        <v>68</v>
      </c>
      <c r="F108" s="3">
        <v>498</v>
      </c>
      <c r="G108" s="2">
        <v>38</v>
      </c>
      <c r="H108" s="2">
        <v>42</v>
      </c>
      <c r="I108" s="3">
        <v>4482</v>
      </c>
      <c r="J108" s="3">
        <v>3647</v>
      </c>
      <c r="K108" s="2">
        <v>32</v>
      </c>
      <c r="L108" s="2" t="s">
        <v>51</v>
      </c>
      <c r="M108" s="2"/>
      <c r="N108" s="2"/>
      <c r="O108" s="2" t="s">
        <v>18</v>
      </c>
      <c r="Q108" t="b">
        <f t="shared" si="1"/>
        <v>1</v>
      </c>
    </row>
    <row r="109" spans="1:17" x14ac:dyDescent="0.25">
      <c r="A109" s="2" t="s">
        <v>166</v>
      </c>
      <c r="B109" s="2" t="s">
        <v>30</v>
      </c>
      <c r="C109" s="4">
        <v>45692</v>
      </c>
      <c r="D109" s="2" t="s">
        <v>44</v>
      </c>
      <c r="E109" s="2" t="s">
        <v>140</v>
      </c>
      <c r="F109" s="3">
        <v>4619</v>
      </c>
      <c r="G109" s="2">
        <v>821</v>
      </c>
      <c r="H109" s="2">
        <v>499</v>
      </c>
      <c r="I109" s="3">
        <v>69285</v>
      </c>
      <c r="J109" s="3">
        <v>69141</v>
      </c>
      <c r="K109" s="2">
        <v>298</v>
      </c>
      <c r="L109" s="2" t="s">
        <v>27</v>
      </c>
      <c r="M109" s="2"/>
      <c r="N109" s="2"/>
      <c r="O109" s="2" t="s">
        <v>34</v>
      </c>
      <c r="Q109" t="b">
        <f t="shared" si="1"/>
        <v>1</v>
      </c>
    </row>
    <row r="110" spans="1:17" x14ac:dyDescent="0.25">
      <c r="A110" s="2" t="s">
        <v>167</v>
      </c>
      <c r="B110" s="2" t="s">
        <v>25</v>
      </c>
      <c r="C110" s="4">
        <v>45464</v>
      </c>
      <c r="D110" s="2" t="s">
        <v>44</v>
      </c>
      <c r="E110" s="2" t="s">
        <v>45</v>
      </c>
      <c r="F110" s="3">
        <v>4832</v>
      </c>
      <c r="G110" s="2">
        <v>893</v>
      </c>
      <c r="H110" s="2">
        <v>10</v>
      </c>
      <c r="I110" s="3">
        <v>91808</v>
      </c>
      <c r="J110" s="3">
        <v>91296</v>
      </c>
      <c r="K110" s="2">
        <v>182</v>
      </c>
      <c r="L110" s="2" t="s">
        <v>27</v>
      </c>
      <c r="M110" s="2"/>
      <c r="N110" s="2"/>
      <c r="Q110" t="b">
        <f t="shared" si="1"/>
        <v>1</v>
      </c>
    </row>
    <row r="111" spans="1:17" x14ac:dyDescent="0.25">
      <c r="A111" s="2" t="s">
        <v>168</v>
      </c>
      <c r="B111" s="2" t="s">
        <v>14</v>
      </c>
      <c r="C111" s="4">
        <v>45741</v>
      </c>
      <c r="D111" s="2" t="s">
        <v>59</v>
      </c>
      <c r="E111" s="2" t="s">
        <v>99</v>
      </c>
      <c r="F111" s="3">
        <v>4050</v>
      </c>
      <c r="G111" s="2">
        <v>871</v>
      </c>
      <c r="H111" s="2">
        <v>347</v>
      </c>
      <c r="I111" s="3">
        <v>52650</v>
      </c>
      <c r="J111" s="3">
        <v>51755</v>
      </c>
      <c r="K111" s="2">
        <v>209</v>
      </c>
      <c r="L111" s="2" t="s">
        <v>27</v>
      </c>
      <c r="M111" s="2"/>
      <c r="N111" s="2"/>
      <c r="O111" s="2" t="s">
        <v>23</v>
      </c>
      <c r="Q111" t="b">
        <f t="shared" si="1"/>
        <v>1</v>
      </c>
    </row>
    <row r="112" spans="1:17" x14ac:dyDescent="0.25">
      <c r="A112" s="2" t="s">
        <v>169</v>
      </c>
      <c r="B112" s="2" t="s">
        <v>14</v>
      </c>
      <c r="C112" s="4">
        <v>45512</v>
      </c>
      <c r="D112" s="2" t="s">
        <v>31</v>
      </c>
      <c r="E112" s="2" t="s">
        <v>102</v>
      </c>
      <c r="F112" s="3">
        <v>3649</v>
      </c>
      <c r="G112" s="2">
        <v>215</v>
      </c>
      <c r="H112" s="2">
        <v>413</v>
      </c>
      <c r="I112" s="3">
        <v>25543</v>
      </c>
      <c r="J112" s="3">
        <v>24963</v>
      </c>
      <c r="K112" s="2">
        <v>167</v>
      </c>
      <c r="L112" s="2" t="s">
        <v>51</v>
      </c>
      <c r="M112" s="2"/>
      <c r="N112" s="2"/>
      <c r="O112" s="2" t="s">
        <v>28</v>
      </c>
      <c r="Q112" t="b">
        <f t="shared" si="1"/>
        <v>1</v>
      </c>
    </row>
    <row r="113" spans="1:17" x14ac:dyDescent="0.25">
      <c r="A113" s="2" t="s">
        <v>170</v>
      </c>
      <c r="B113" s="2" t="s">
        <v>30</v>
      </c>
      <c r="C113" s="4">
        <v>45502</v>
      </c>
      <c r="D113" s="2" t="s">
        <v>15</v>
      </c>
      <c r="E113" s="2" t="s">
        <v>64</v>
      </c>
      <c r="F113" s="3">
        <v>3523</v>
      </c>
      <c r="G113" s="2">
        <v>753</v>
      </c>
      <c r="H113" s="2">
        <v>482</v>
      </c>
      <c r="I113" s="3">
        <v>38753</v>
      </c>
      <c r="J113" s="3">
        <v>38579</v>
      </c>
      <c r="K113" s="2">
        <v>270</v>
      </c>
      <c r="L113" s="2" t="s">
        <v>33</v>
      </c>
      <c r="M113" s="2"/>
      <c r="N113" s="2"/>
      <c r="O113" s="2" t="s">
        <v>23</v>
      </c>
      <c r="Q113" t="b">
        <f t="shared" si="1"/>
        <v>1</v>
      </c>
    </row>
    <row r="114" spans="1:17" x14ac:dyDescent="0.25">
      <c r="A114" s="2" t="s">
        <v>171</v>
      </c>
      <c r="B114" s="2" t="s">
        <v>25</v>
      </c>
      <c r="C114" s="4">
        <v>45619</v>
      </c>
      <c r="D114" s="2" t="s">
        <v>44</v>
      </c>
      <c r="E114" s="2" t="s">
        <v>45</v>
      </c>
      <c r="F114" s="3">
        <v>2719</v>
      </c>
      <c r="G114" s="2">
        <v>17</v>
      </c>
      <c r="H114" s="2">
        <v>285</v>
      </c>
      <c r="I114" s="3">
        <v>40785</v>
      </c>
      <c r="J114" s="3">
        <v>40281</v>
      </c>
      <c r="K114" s="2">
        <v>40</v>
      </c>
      <c r="L114" s="2" t="s">
        <v>27</v>
      </c>
      <c r="M114" s="2"/>
      <c r="N114" s="2"/>
      <c r="O114" s="2" t="s">
        <v>23</v>
      </c>
      <c r="Q114" t="b">
        <f t="shared" si="1"/>
        <v>1</v>
      </c>
    </row>
    <row r="115" spans="1:17" x14ac:dyDescent="0.25">
      <c r="A115" s="2" t="s">
        <v>172</v>
      </c>
      <c r="B115" s="2" t="s">
        <v>14</v>
      </c>
      <c r="C115" s="4">
        <v>45570</v>
      </c>
      <c r="D115" s="2" t="s">
        <v>31</v>
      </c>
      <c r="E115" s="2" t="s">
        <v>102</v>
      </c>
      <c r="F115" s="3">
        <v>1957</v>
      </c>
      <c r="G115" s="2">
        <v>877</v>
      </c>
      <c r="H115" s="2">
        <v>238</v>
      </c>
      <c r="I115" s="3">
        <v>17613</v>
      </c>
      <c r="J115" s="3">
        <v>16865</v>
      </c>
      <c r="K115" s="2">
        <v>297</v>
      </c>
      <c r="L115" s="2" t="s">
        <v>51</v>
      </c>
      <c r="M115" s="2"/>
      <c r="N115" s="2"/>
      <c r="O115" s="2" t="s">
        <v>28</v>
      </c>
      <c r="Q115" t="b">
        <f t="shared" si="1"/>
        <v>1</v>
      </c>
    </row>
    <row r="116" spans="1:17" x14ac:dyDescent="0.25">
      <c r="A116" s="2" t="s">
        <v>173</v>
      </c>
      <c r="B116" s="2" t="s">
        <v>14</v>
      </c>
      <c r="C116" s="4">
        <v>45567</v>
      </c>
      <c r="D116" s="2" t="s">
        <v>39</v>
      </c>
      <c r="E116" s="2" t="s">
        <v>42</v>
      </c>
      <c r="F116" s="3">
        <v>4419</v>
      </c>
      <c r="G116" s="2">
        <v>236</v>
      </c>
      <c r="H116" s="2">
        <v>369</v>
      </c>
      <c r="I116" s="3">
        <v>44190</v>
      </c>
      <c r="J116" s="3">
        <v>43582</v>
      </c>
      <c r="K116" s="2">
        <v>10</v>
      </c>
      <c r="L116" s="2" t="s">
        <v>33</v>
      </c>
      <c r="M116" s="2"/>
      <c r="N116" s="2"/>
      <c r="O116" s="2" t="s">
        <v>18</v>
      </c>
      <c r="Q116" t="b">
        <f t="shared" si="1"/>
        <v>1</v>
      </c>
    </row>
    <row r="117" spans="1:17" x14ac:dyDescent="0.25">
      <c r="A117" s="2" t="s">
        <v>174</v>
      </c>
      <c r="B117" s="2" t="s">
        <v>14</v>
      </c>
      <c r="C117" s="4">
        <v>45610</v>
      </c>
      <c r="D117" s="2" t="s">
        <v>31</v>
      </c>
      <c r="E117" s="2" t="s">
        <v>102</v>
      </c>
      <c r="F117" s="3">
        <v>4000</v>
      </c>
      <c r="G117" s="2">
        <v>689</v>
      </c>
      <c r="H117" s="2">
        <v>488</v>
      </c>
      <c r="I117" s="3">
        <v>40000</v>
      </c>
      <c r="J117" s="3">
        <v>39569</v>
      </c>
      <c r="K117" s="2">
        <v>44</v>
      </c>
      <c r="L117" s="2" t="s">
        <v>51</v>
      </c>
      <c r="M117" s="2"/>
      <c r="N117" s="2"/>
      <c r="O117" s="2" t="s">
        <v>18</v>
      </c>
      <c r="Q117" t="b">
        <f t="shared" si="1"/>
        <v>1</v>
      </c>
    </row>
    <row r="118" spans="1:17" x14ac:dyDescent="0.25">
      <c r="A118" s="2" t="s">
        <v>175</v>
      </c>
      <c r="B118" s="2" t="s">
        <v>14</v>
      </c>
      <c r="C118" s="4">
        <v>45788</v>
      </c>
      <c r="D118" s="2" t="s">
        <v>44</v>
      </c>
      <c r="E118" s="2" t="s">
        <v>92</v>
      </c>
      <c r="F118" s="3">
        <v>2493</v>
      </c>
      <c r="G118" s="2">
        <v>97</v>
      </c>
      <c r="H118" s="2">
        <v>44</v>
      </c>
      <c r="I118" s="3">
        <v>42381</v>
      </c>
      <c r="J118" s="3">
        <v>41991</v>
      </c>
      <c r="K118" s="2">
        <v>242</v>
      </c>
      <c r="L118" s="2" t="s">
        <v>27</v>
      </c>
      <c r="M118" s="2" t="s">
        <v>379</v>
      </c>
      <c r="N118" s="2"/>
      <c r="O118" s="2" t="s">
        <v>34</v>
      </c>
      <c r="Q118" t="b">
        <f t="shared" si="1"/>
        <v>1</v>
      </c>
    </row>
    <row r="119" spans="1:17" x14ac:dyDescent="0.25">
      <c r="A119" s="2" t="s">
        <v>176</v>
      </c>
      <c r="B119" s="2" t="s">
        <v>25</v>
      </c>
      <c r="C119" s="4">
        <v>45734</v>
      </c>
      <c r="D119" s="2" t="s">
        <v>15</v>
      </c>
      <c r="E119" s="2" t="s">
        <v>26</v>
      </c>
      <c r="F119" s="3">
        <v>3704</v>
      </c>
      <c r="G119" s="2">
        <v>186</v>
      </c>
      <c r="H119" s="2">
        <v>458</v>
      </c>
      <c r="I119" s="3">
        <v>25928</v>
      </c>
      <c r="J119" s="3">
        <v>25081</v>
      </c>
      <c r="K119" s="2">
        <v>131</v>
      </c>
      <c r="L119" s="2" t="s">
        <v>27</v>
      </c>
      <c r="M119" s="2"/>
      <c r="N119" s="2"/>
      <c r="Q119" t="b">
        <f t="shared" si="1"/>
        <v>1</v>
      </c>
    </row>
    <row r="120" spans="1:17" x14ac:dyDescent="0.25">
      <c r="A120" s="2" t="s">
        <v>177</v>
      </c>
      <c r="B120" s="2" t="s">
        <v>14</v>
      </c>
      <c r="C120" s="4">
        <v>45600</v>
      </c>
      <c r="D120" s="2" t="s">
        <v>44</v>
      </c>
      <c r="E120" s="2" t="s">
        <v>92</v>
      </c>
      <c r="F120" s="3">
        <v>1606</v>
      </c>
      <c r="G120" s="2">
        <v>451</v>
      </c>
      <c r="H120" s="2">
        <v>405</v>
      </c>
      <c r="I120" s="3">
        <v>20878</v>
      </c>
      <c r="J120" s="3">
        <v>20190</v>
      </c>
      <c r="K120" s="2">
        <v>219</v>
      </c>
      <c r="L120" s="2" t="s">
        <v>33</v>
      </c>
      <c r="M120" s="2"/>
      <c r="N120" s="2"/>
      <c r="O120" s="2" t="s">
        <v>34</v>
      </c>
      <c r="Q120" t="b">
        <f t="shared" si="1"/>
        <v>1</v>
      </c>
    </row>
    <row r="121" spans="1:17" x14ac:dyDescent="0.25">
      <c r="A121" s="2" t="s">
        <v>178</v>
      </c>
      <c r="B121" s="2" t="s">
        <v>38</v>
      </c>
      <c r="C121" s="4">
        <v>45600</v>
      </c>
      <c r="D121" s="2" t="s">
        <v>44</v>
      </c>
      <c r="E121" s="2" t="s">
        <v>49</v>
      </c>
      <c r="F121" s="3">
        <v>4551</v>
      </c>
      <c r="G121" s="2">
        <v>714</v>
      </c>
      <c r="H121" s="2">
        <v>207</v>
      </c>
      <c r="I121" s="3">
        <v>68265</v>
      </c>
      <c r="J121" s="3">
        <v>67754</v>
      </c>
      <c r="K121" s="2">
        <v>57</v>
      </c>
      <c r="L121" s="2" t="s">
        <v>51</v>
      </c>
      <c r="M121" s="2"/>
      <c r="N121" s="2"/>
      <c r="O121" s="2" t="s">
        <v>28</v>
      </c>
      <c r="Q121" t="b">
        <f t="shared" si="1"/>
        <v>1</v>
      </c>
    </row>
    <row r="122" spans="1:17" x14ac:dyDescent="0.25">
      <c r="A122" s="2" t="s">
        <v>179</v>
      </c>
      <c r="B122" s="2" t="s">
        <v>30</v>
      </c>
      <c r="C122" s="4">
        <v>45695</v>
      </c>
      <c r="D122" s="2" t="s">
        <v>15</v>
      </c>
      <c r="E122" s="2" t="s">
        <v>64</v>
      </c>
      <c r="F122" s="3">
        <v>1970</v>
      </c>
      <c r="G122" s="2">
        <v>675</v>
      </c>
      <c r="H122" s="2">
        <v>478</v>
      </c>
      <c r="I122" s="3">
        <v>9850</v>
      </c>
      <c r="J122" s="3">
        <v>8924</v>
      </c>
      <c r="K122" s="2">
        <v>117</v>
      </c>
      <c r="L122" s="2" t="s">
        <v>51</v>
      </c>
      <c r="M122" s="2"/>
      <c r="N122" s="2"/>
      <c r="Q122" t="b">
        <f t="shared" si="1"/>
        <v>1</v>
      </c>
    </row>
    <row r="123" spans="1:17" x14ac:dyDescent="0.25">
      <c r="A123" s="2" t="s">
        <v>180</v>
      </c>
      <c r="B123" s="2" t="s">
        <v>38</v>
      </c>
      <c r="C123" s="4">
        <v>45586</v>
      </c>
      <c r="D123" s="2" t="s">
        <v>31</v>
      </c>
      <c r="E123" s="2" t="s">
        <v>57</v>
      </c>
      <c r="F123" s="3">
        <v>780</v>
      </c>
      <c r="G123" s="2">
        <v>928</v>
      </c>
      <c r="H123" s="2">
        <v>301</v>
      </c>
      <c r="I123" s="3">
        <v>8580</v>
      </c>
      <c r="J123" s="3">
        <v>8081</v>
      </c>
      <c r="K123" s="2">
        <v>91</v>
      </c>
      <c r="L123" s="2" t="s">
        <v>33</v>
      </c>
      <c r="M123" s="2"/>
      <c r="N123" s="2"/>
      <c r="O123" s="2" t="s">
        <v>28</v>
      </c>
      <c r="Q123" t="b">
        <f t="shared" si="1"/>
        <v>1</v>
      </c>
    </row>
    <row r="124" spans="1:17" x14ac:dyDescent="0.25">
      <c r="A124" s="2" t="s">
        <v>181</v>
      </c>
      <c r="B124" s="2" t="s">
        <v>30</v>
      </c>
      <c r="C124" s="4">
        <v>45502</v>
      </c>
      <c r="D124" s="2" t="s">
        <v>31</v>
      </c>
      <c r="E124" s="2" t="s">
        <v>32</v>
      </c>
      <c r="F124" s="3">
        <v>498</v>
      </c>
      <c r="G124" s="2">
        <v>701</v>
      </c>
      <c r="H124" s="2">
        <v>412</v>
      </c>
      <c r="I124" s="3">
        <v>4980</v>
      </c>
      <c r="J124" s="3">
        <v>4185</v>
      </c>
      <c r="K124" s="2">
        <v>185</v>
      </c>
      <c r="L124" s="2" t="s">
        <v>51</v>
      </c>
      <c r="M124" s="2"/>
      <c r="N124" s="2"/>
      <c r="Q124" t="b">
        <f t="shared" si="1"/>
        <v>1</v>
      </c>
    </row>
    <row r="125" spans="1:17" x14ac:dyDescent="0.25">
      <c r="A125" s="2" t="s">
        <v>182</v>
      </c>
      <c r="B125" s="2" t="s">
        <v>30</v>
      </c>
      <c r="C125" s="4">
        <v>45567</v>
      </c>
      <c r="D125" s="2" t="s">
        <v>20</v>
      </c>
      <c r="E125" s="2" t="s">
        <v>82</v>
      </c>
      <c r="F125" s="3">
        <v>3432</v>
      </c>
      <c r="G125" s="2">
        <v>869</v>
      </c>
      <c r="H125" s="2">
        <v>123</v>
      </c>
      <c r="I125" s="3">
        <v>54912</v>
      </c>
      <c r="J125" s="3">
        <v>53916</v>
      </c>
      <c r="K125" s="2">
        <v>264</v>
      </c>
      <c r="L125" s="2" t="s">
        <v>33</v>
      </c>
      <c r="M125" s="2"/>
      <c r="N125" s="2"/>
      <c r="O125" s="2" t="s">
        <v>23</v>
      </c>
      <c r="Q125" t="b">
        <f t="shared" si="1"/>
        <v>1</v>
      </c>
    </row>
    <row r="126" spans="1:17" x14ac:dyDescent="0.25">
      <c r="A126" s="2" t="s">
        <v>183</v>
      </c>
      <c r="B126" s="2" t="s">
        <v>30</v>
      </c>
      <c r="C126" s="4">
        <v>45457</v>
      </c>
      <c r="D126" s="2" t="s">
        <v>31</v>
      </c>
      <c r="E126" s="2" t="s">
        <v>32</v>
      </c>
      <c r="F126" s="3">
        <v>4363</v>
      </c>
      <c r="G126" s="2">
        <v>649</v>
      </c>
      <c r="H126" s="2">
        <v>140</v>
      </c>
      <c r="I126" s="3">
        <v>21815</v>
      </c>
      <c r="J126" s="3">
        <v>21481</v>
      </c>
      <c r="K126" s="2">
        <v>157</v>
      </c>
      <c r="L126" s="2" t="s">
        <v>33</v>
      </c>
      <c r="M126" s="2"/>
      <c r="N126" s="2"/>
      <c r="O126" s="2" t="s">
        <v>18</v>
      </c>
      <c r="Q126" t="b">
        <f t="shared" si="1"/>
        <v>1</v>
      </c>
    </row>
    <row r="127" spans="1:17" x14ac:dyDescent="0.25">
      <c r="A127" s="2" t="s">
        <v>184</v>
      </c>
      <c r="B127" s="2" t="s">
        <v>25</v>
      </c>
      <c r="C127" s="4">
        <v>45753</v>
      </c>
      <c r="D127" s="2" t="s">
        <v>39</v>
      </c>
      <c r="E127" s="2" t="s">
        <v>55</v>
      </c>
      <c r="F127" s="3">
        <v>736</v>
      </c>
      <c r="G127" s="2">
        <v>771</v>
      </c>
      <c r="H127" s="2">
        <v>225</v>
      </c>
      <c r="I127" s="3">
        <v>5152</v>
      </c>
      <c r="J127" s="3">
        <v>4706</v>
      </c>
      <c r="K127" s="2">
        <v>19</v>
      </c>
      <c r="L127" s="2" t="s">
        <v>33</v>
      </c>
      <c r="M127" s="2"/>
      <c r="N127" s="2"/>
      <c r="O127" s="2" t="s">
        <v>18</v>
      </c>
      <c r="Q127" t="b">
        <f t="shared" si="1"/>
        <v>1</v>
      </c>
    </row>
    <row r="128" spans="1:17" x14ac:dyDescent="0.25">
      <c r="A128" s="2" t="s">
        <v>185</v>
      </c>
      <c r="B128" s="2" t="s">
        <v>14</v>
      </c>
      <c r="C128" s="4">
        <v>45543</v>
      </c>
      <c r="D128" s="2" t="s">
        <v>39</v>
      </c>
      <c r="E128" s="2" t="s">
        <v>42</v>
      </c>
      <c r="F128" s="3">
        <v>3811</v>
      </c>
      <c r="G128" s="2">
        <v>866</v>
      </c>
      <c r="H128" s="2">
        <v>216</v>
      </c>
      <c r="I128" s="3">
        <v>34299</v>
      </c>
      <c r="J128" s="3">
        <v>34088</v>
      </c>
      <c r="K128" s="2">
        <v>233</v>
      </c>
      <c r="L128" s="2" t="s">
        <v>27</v>
      </c>
      <c r="M128" s="2"/>
      <c r="N128" s="2"/>
      <c r="O128" s="2" t="s">
        <v>34</v>
      </c>
      <c r="Q128" t="b">
        <f t="shared" si="1"/>
        <v>1</v>
      </c>
    </row>
    <row r="129" spans="1:17" x14ac:dyDescent="0.25">
      <c r="A129" s="2" t="s">
        <v>186</v>
      </c>
      <c r="B129" s="2" t="s">
        <v>30</v>
      </c>
      <c r="C129" s="4">
        <v>45744</v>
      </c>
      <c r="D129" s="2" t="s">
        <v>39</v>
      </c>
      <c r="E129" s="2" t="s">
        <v>68</v>
      </c>
      <c r="F129" s="3">
        <v>4158</v>
      </c>
      <c r="G129" s="2">
        <v>167</v>
      </c>
      <c r="H129" s="2">
        <v>241</v>
      </c>
      <c r="I129" s="3">
        <v>45738</v>
      </c>
      <c r="J129" s="3">
        <v>45183</v>
      </c>
      <c r="K129" s="2">
        <v>142</v>
      </c>
      <c r="L129" s="2" t="s">
        <v>51</v>
      </c>
      <c r="M129" s="2"/>
      <c r="N129" s="2"/>
      <c r="Q129" t="b">
        <f t="shared" si="1"/>
        <v>1</v>
      </c>
    </row>
    <row r="130" spans="1:17" x14ac:dyDescent="0.25">
      <c r="A130" s="2" t="s">
        <v>187</v>
      </c>
      <c r="B130" s="2" t="s">
        <v>38</v>
      </c>
      <c r="C130" s="4">
        <v>45684</v>
      </c>
      <c r="D130" s="2" t="s">
        <v>15</v>
      </c>
      <c r="E130" s="2" t="s">
        <v>53</v>
      </c>
      <c r="F130" s="3">
        <v>3452</v>
      </c>
      <c r="G130" s="2">
        <v>652</v>
      </c>
      <c r="H130" s="2">
        <v>442</v>
      </c>
      <c r="I130" s="3">
        <v>65588</v>
      </c>
      <c r="J130" s="3">
        <v>65049</v>
      </c>
      <c r="K130" s="2">
        <v>158</v>
      </c>
      <c r="L130" s="2" t="s">
        <v>51</v>
      </c>
      <c r="M130" s="2"/>
      <c r="N130" s="2"/>
      <c r="O130" s="2" t="s">
        <v>28</v>
      </c>
      <c r="Q130" t="b">
        <f t="shared" si="1"/>
        <v>1</v>
      </c>
    </row>
    <row r="131" spans="1:17" x14ac:dyDescent="0.25">
      <c r="A131" s="2" t="s">
        <v>188</v>
      </c>
      <c r="B131" s="2" t="s">
        <v>14</v>
      </c>
      <c r="C131" s="4">
        <v>45667</v>
      </c>
      <c r="D131" s="2" t="s">
        <v>44</v>
      </c>
      <c r="E131" s="2" t="s">
        <v>92</v>
      </c>
      <c r="F131" s="3">
        <v>3092</v>
      </c>
      <c r="G131" s="2">
        <v>106</v>
      </c>
      <c r="H131" s="2">
        <v>291</v>
      </c>
      <c r="I131" s="3">
        <v>27828</v>
      </c>
      <c r="J131" s="3">
        <v>27217</v>
      </c>
      <c r="K131" s="2">
        <v>102</v>
      </c>
      <c r="L131" s="2" t="s">
        <v>51</v>
      </c>
      <c r="M131" s="2"/>
      <c r="N131" s="2"/>
      <c r="Q131" t="b">
        <f t="shared" si="1"/>
        <v>1</v>
      </c>
    </row>
    <row r="132" spans="1:17" x14ac:dyDescent="0.25">
      <c r="A132" s="2" t="s">
        <v>189</v>
      </c>
      <c r="B132" s="2" t="s">
        <v>14</v>
      </c>
      <c r="C132" s="4">
        <v>45494</v>
      </c>
      <c r="D132" s="2" t="s">
        <v>20</v>
      </c>
      <c r="E132" s="2" t="s">
        <v>21</v>
      </c>
      <c r="F132" s="3">
        <v>2147</v>
      </c>
      <c r="G132" s="2">
        <v>430</v>
      </c>
      <c r="H132" s="2">
        <v>393</v>
      </c>
      <c r="I132" s="3">
        <v>17176</v>
      </c>
      <c r="J132" s="3">
        <v>16483</v>
      </c>
      <c r="K132" s="2">
        <v>170</v>
      </c>
      <c r="L132" s="2" t="s">
        <v>27</v>
      </c>
      <c r="M132" s="2"/>
      <c r="N132" s="2"/>
      <c r="Q132" t="b">
        <f t="shared" si="1"/>
        <v>1</v>
      </c>
    </row>
    <row r="133" spans="1:17" x14ac:dyDescent="0.25">
      <c r="A133" s="2" t="s">
        <v>190</v>
      </c>
      <c r="B133" s="2" t="s">
        <v>25</v>
      </c>
      <c r="C133" s="4">
        <v>45564</v>
      </c>
      <c r="D133" s="2" t="s">
        <v>15</v>
      </c>
      <c r="E133" s="2" t="s">
        <v>26</v>
      </c>
      <c r="F133" s="3">
        <v>2936</v>
      </c>
      <c r="G133" s="2">
        <v>439</v>
      </c>
      <c r="H133" s="2">
        <v>44</v>
      </c>
      <c r="I133" s="3">
        <v>38168</v>
      </c>
      <c r="J133" s="3">
        <v>37571</v>
      </c>
      <c r="K133" s="2">
        <v>22</v>
      </c>
      <c r="L133" s="2" t="s">
        <v>33</v>
      </c>
      <c r="M133" s="2"/>
      <c r="N133" s="2"/>
      <c r="O133" s="2" t="s">
        <v>34</v>
      </c>
      <c r="Q133" t="b">
        <f t="shared" ref="Q133:Q196" si="2">EXACT(B133,SUBSTITUTE(PROPER(B133),"Youtube","YouTube"))</f>
        <v>1</v>
      </c>
    </row>
    <row r="134" spans="1:17" x14ac:dyDescent="0.25">
      <c r="A134" s="2" t="s">
        <v>191</v>
      </c>
      <c r="B134" s="2" t="s">
        <v>30</v>
      </c>
      <c r="C134" s="4">
        <v>45586</v>
      </c>
      <c r="D134" s="2" t="s">
        <v>15</v>
      </c>
      <c r="E134" s="2" t="s">
        <v>64</v>
      </c>
      <c r="F134" s="3">
        <v>4840</v>
      </c>
      <c r="G134" s="2">
        <v>658</v>
      </c>
      <c r="H134" s="2">
        <v>211</v>
      </c>
      <c r="I134" s="3">
        <v>43560</v>
      </c>
      <c r="J134" s="3">
        <v>43225</v>
      </c>
      <c r="K134" s="2">
        <v>57</v>
      </c>
      <c r="L134" s="2" t="s">
        <v>51</v>
      </c>
      <c r="M134" s="2"/>
      <c r="N134" s="2"/>
      <c r="O134" s="2" t="s">
        <v>28</v>
      </c>
      <c r="Q134" t="b">
        <f t="shared" si="2"/>
        <v>1</v>
      </c>
    </row>
    <row r="135" spans="1:17" x14ac:dyDescent="0.25">
      <c r="A135" s="2" t="s">
        <v>192</v>
      </c>
      <c r="B135" s="2" t="s">
        <v>30</v>
      </c>
      <c r="C135" s="4">
        <v>45720</v>
      </c>
      <c r="D135" s="2" t="s">
        <v>31</v>
      </c>
      <c r="E135" s="2" t="s">
        <v>32</v>
      </c>
      <c r="F135" s="3">
        <v>1947</v>
      </c>
      <c r="G135" s="2">
        <v>842</v>
      </c>
      <c r="H135" s="2">
        <v>101</v>
      </c>
      <c r="I135" s="3">
        <v>21417</v>
      </c>
      <c r="J135" s="3">
        <v>20967</v>
      </c>
      <c r="K135" s="2">
        <v>186</v>
      </c>
      <c r="L135" s="2" t="s">
        <v>51</v>
      </c>
      <c r="M135" s="2"/>
      <c r="N135" s="2"/>
      <c r="O135" s="2" t="s">
        <v>23</v>
      </c>
      <c r="Q135" t="b">
        <f t="shared" si="2"/>
        <v>1</v>
      </c>
    </row>
    <row r="136" spans="1:17" x14ac:dyDescent="0.25">
      <c r="A136" s="2" t="s">
        <v>193</v>
      </c>
      <c r="B136" s="2" t="s">
        <v>38</v>
      </c>
      <c r="C136" s="4">
        <v>45694</v>
      </c>
      <c r="D136" s="2" t="s">
        <v>44</v>
      </c>
      <c r="E136" s="2" t="s">
        <v>49</v>
      </c>
      <c r="F136" s="3">
        <v>2072</v>
      </c>
      <c r="G136" s="2">
        <v>532</v>
      </c>
      <c r="H136" s="2">
        <v>71</v>
      </c>
      <c r="I136" s="3">
        <v>37296</v>
      </c>
      <c r="J136" s="3">
        <v>36467</v>
      </c>
      <c r="K136" s="2">
        <v>25</v>
      </c>
      <c r="L136" s="2" t="s">
        <v>27</v>
      </c>
      <c r="M136" s="2"/>
      <c r="N136" s="2"/>
      <c r="O136" s="2" t="s">
        <v>34</v>
      </c>
      <c r="Q136" t="b">
        <f t="shared" si="2"/>
        <v>1</v>
      </c>
    </row>
    <row r="137" spans="1:17" x14ac:dyDescent="0.25">
      <c r="A137" s="2" t="s">
        <v>194</v>
      </c>
      <c r="B137" s="2" t="s">
        <v>14</v>
      </c>
      <c r="C137" s="4">
        <v>45771</v>
      </c>
      <c r="D137" s="2" t="s">
        <v>15</v>
      </c>
      <c r="E137" s="2" t="s">
        <v>16</v>
      </c>
      <c r="F137" s="3">
        <v>3731</v>
      </c>
      <c r="G137" s="2">
        <v>115</v>
      </c>
      <c r="H137" s="2">
        <v>135</v>
      </c>
      <c r="I137" s="3">
        <v>55965</v>
      </c>
      <c r="J137" s="3">
        <v>55436</v>
      </c>
      <c r="K137" s="2">
        <v>103</v>
      </c>
      <c r="L137" s="2" t="s">
        <v>27</v>
      </c>
      <c r="M137" s="2"/>
      <c r="N137" s="2"/>
      <c r="O137" s="2" t="s">
        <v>18</v>
      </c>
      <c r="Q137" t="b">
        <f t="shared" si="2"/>
        <v>1</v>
      </c>
    </row>
    <row r="138" spans="1:17" x14ac:dyDescent="0.25">
      <c r="A138" s="2" t="s">
        <v>195</v>
      </c>
      <c r="B138" s="2" t="s">
        <v>38</v>
      </c>
      <c r="C138" s="4">
        <v>45624</v>
      </c>
      <c r="D138" s="2" t="s">
        <v>20</v>
      </c>
      <c r="E138" s="2" t="s">
        <v>47</v>
      </c>
      <c r="F138" s="3">
        <v>4213</v>
      </c>
      <c r="G138" s="2">
        <v>253</v>
      </c>
      <c r="H138" s="2">
        <v>434</v>
      </c>
      <c r="I138" s="3">
        <v>75834</v>
      </c>
      <c r="J138" s="3">
        <v>75437</v>
      </c>
      <c r="K138" s="2">
        <v>272</v>
      </c>
      <c r="L138" s="2" t="s">
        <v>51</v>
      </c>
      <c r="M138" s="2"/>
      <c r="N138" s="2"/>
      <c r="O138" s="2" t="s">
        <v>34</v>
      </c>
      <c r="Q138" t="b">
        <f t="shared" si="2"/>
        <v>1</v>
      </c>
    </row>
    <row r="139" spans="1:17" x14ac:dyDescent="0.25">
      <c r="A139" s="2" t="s">
        <v>196</v>
      </c>
      <c r="B139" s="2" t="s">
        <v>30</v>
      </c>
      <c r="C139" s="4">
        <v>45484</v>
      </c>
      <c r="D139" s="2" t="s">
        <v>20</v>
      </c>
      <c r="E139" s="2" t="s">
        <v>82</v>
      </c>
      <c r="F139" s="3">
        <v>3134</v>
      </c>
      <c r="G139" s="2">
        <v>888</v>
      </c>
      <c r="H139" s="2">
        <v>444</v>
      </c>
      <c r="I139" s="3">
        <v>21938</v>
      </c>
      <c r="J139" s="3">
        <v>21337</v>
      </c>
      <c r="K139" s="2">
        <v>130</v>
      </c>
      <c r="L139" s="2" t="s">
        <v>33</v>
      </c>
      <c r="M139" s="2"/>
      <c r="N139" s="2"/>
      <c r="O139" s="2" t="s">
        <v>34</v>
      </c>
      <c r="Q139" t="b">
        <f t="shared" si="2"/>
        <v>1</v>
      </c>
    </row>
    <row r="140" spans="1:17" x14ac:dyDescent="0.25">
      <c r="A140" s="2" t="s">
        <v>197</v>
      </c>
      <c r="B140" s="2" t="s">
        <v>38</v>
      </c>
      <c r="C140" s="4">
        <v>45504</v>
      </c>
      <c r="D140" s="2" t="s">
        <v>59</v>
      </c>
      <c r="E140" s="2" t="s">
        <v>60</v>
      </c>
      <c r="F140" s="3">
        <v>3008</v>
      </c>
      <c r="G140" s="2">
        <v>94</v>
      </c>
      <c r="H140" s="2">
        <v>37</v>
      </c>
      <c r="I140" s="3">
        <v>15040</v>
      </c>
      <c r="J140" s="3">
        <v>14639</v>
      </c>
      <c r="K140" s="2">
        <v>277</v>
      </c>
      <c r="L140" s="2" t="s">
        <v>51</v>
      </c>
      <c r="M140" s="2"/>
      <c r="N140" s="2"/>
      <c r="Q140" t="b">
        <f t="shared" si="2"/>
        <v>1</v>
      </c>
    </row>
    <row r="141" spans="1:17" x14ac:dyDescent="0.25">
      <c r="A141" s="2" t="s">
        <v>198</v>
      </c>
      <c r="B141" s="2" t="s">
        <v>14</v>
      </c>
      <c r="C141" s="4">
        <v>45745</v>
      </c>
      <c r="D141" s="2" t="s">
        <v>44</v>
      </c>
      <c r="E141" s="2" t="s">
        <v>92</v>
      </c>
      <c r="F141" s="3">
        <v>305</v>
      </c>
      <c r="G141" s="2">
        <v>187</v>
      </c>
      <c r="H141" s="2">
        <v>243</v>
      </c>
      <c r="I141" s="3">
        <v>4575</v>
      </c>
      <c r="J141" s="3">
        <v>3704</v>
      </c>
      <c r="K141" s="2">
        <v>234</v>
      </c>
      <c r="L141" s="2" t="s">
        <v>51</v>
      </c>
      <c r="M141" s="2"/>
      <c r="N141" s="2"/>
      <c r="O141" s="2" t="s">
        <v>28</v>
      </c>
      <c r="Q141" t="b">
        <f t="shared" si="2"/>
        <v>1</v>
      </c>
    </row>
    <row r="142" spans="1:17" x14ac:dyDescent="0.25">
      <c r="A142" s="2" t="s">
        <v>199</v>
      </c>
      <c r="B142" s="2" t="s">
        <v>25</v>
      </c>
      <c r="C142" s="4">
        <v>45594</v>
      </c>
      <c r="D142" s="2" t="s">
        <v>20</v>
      </c>
      <c r="E142" s="2" t="s">
        <v>77</v>
      </c>
      <c r="F142" s="3">
        <v>2746</v>
      </c>
      <c r="G142" s="2">
        <v>156</v>
      </c>
      <c r="H142" s="2">
        <v>203</v>
      </c>
      <c r="I142" s="3">
        <v>32952</v>
      </c>
      <c r="J142" s="3">
        <v>32147</v>
      </c>
      <c r="K142" s="2">
        <v>147</v>
      </c>
      <c r="L142" s="2" t="s">
        <v>33</v>
      </c>
      <c r="M142" s="2"/>
      <c r="N142" s="2"/>
      <c r="O142" s="2" t="s">
        <v>18</v>
      </c>
      <c r="Q142" t="b">
        <f t="shared" si="2"/>
        <v>1</v>
      </c>
    </row>
    <row r="143" spans="1:17" x14ac:dyDescent="0.25">
      <c r="A143" s="2" t="s">
        <v>200</v>
      </c>
      <c r="B143" s="2" t="s">
        <v>38</v>
      </c>
      <c r="C143" s="4">
        <v>45488</v>
      </c>
      <c r="D143" s="2" t="s">
        <v>44</v>
      </c>
      <c r="E143" s="2" t="s">
        <v>49</v>
      </c>
      <c r="F143" s="3">
        <v>2291</v>
      </c>
      <c r="G143" s="2">
        <v>78</v>
      </c>
      <c r="H143" s="2">
        <v>485</v>
      </c>
      <c r="I143" s="3">
        <v>18328</v>
      </c>
      <c r="J143" s="3">
        <v>18101</v>
      </c>
      <c r="K143" s="2">
        <v>10</v>
      </c>
      <c r="L143" s="2" t="s">
        <v>33</v>
      </c>
      <c r="M143" s="2" t="s">
        <v>381</v>
      </c>
      <c r="N143" s="2"/>
      <c r="O143" s="2" t="s">
        <v>23</v>
      </c>
      <c r="Q143" t="b">
        <f t="shared" si="2"/>
        <v>1</v>
      </c>
    </row>
    <row r="144" spans="1:17" x14ac:dyDescent="0.25">
      <c r="A144" s="2" t="s">
        <v>202</v>
      </c>
      <c r="B144" s="2" t="s">
        <v>14</v>
      </c>
      <c r="C144" s="4">
        <v>45535</v>
      </c>
      <c r="D144" s="2" t="s">
        <v>44</v>
      </c>
      <c r="E144" s="2" t="s">
        <v>92</v>
      </c>
      <c r="F144" s="3">
        <v>3170</v>
      </c>
      <c r="G144" s="2">
        <v>857</v>
      </c>
      <c r="H144" s="2">
        <v>379</v>
      </c>
      <c r="I144" s="3">
        <v>19020</v>
      </c>
      <c r="J144" s="3">
        <v>18559</v>
      </c>
      <c r="K144" s="2">
        <v>240</v>
      </c>
      <c r="L144" s="2" t="s">
        <v>51</v>
      </c>
      <c r="M144" s="2"/>
      <c r="N144" s="2"/>
      <c r="Q144" t="b">
        <f t="shared" si="2"/>
        <v>1</v>
      </c>
    </row>
    <row r="145" spans="1:17" x14ac:dyDescent="0.25">
      <c r="A145" s="2" t="s">
        <v>203</v>
      </c>
      <c r="B145" s="2" t="s">
        <v>25</v>
      </c>
      <c r="C145" s="4">
        <v>45741</v>
      </c>
      <c r="D145" s="2" t="s">
        <v>31</v>
      </c>
      <c r="E145" s="2" t="s">
        <v>105</v>
      </c>
      <c r="F145" s="3">
        <v>2070</v>
      </c>
      <c r="G145" s="2">
        <v>275</v>
      </c>
      <c r="H145" s="2">
        <v>386</v>
      </c>
      <c r="I145" s="3">
        <v>39330</v>
      </c>
      <c r="J145" s="3">
        <v>38627</v>
      </c>
      <c r="K145" s="2">
        <v>114</v>
      </c>
      <c r="L145" s="2" t="s">
        <v>51</v>
      </c>
      <c r="M145" s="2"/>
      <c r="N145" s="2"/>
      <c r="O145" s="2" t="s">
        <v>34</v>
      </c>
      <c r="Q145" t="b">
        <f t="shared" si="2"/>
        <v>1</v>
      </c>
    </row>
    <row r="146" spans="1:17" x14ac:dyDescent="0.25">
      <c r="A146" s="2" t="s">
        <v>204</v>
      </c>
      <c r="B146" s="2" t="s">
        <v>25</v>
      </c>
      <c r="C146" s="4">
        <v>45567</v>
      </c>
      <c r="D146" s="2" t="s">
        <v>39</v>
      </c>
      <c r="E146" s="2" t="s">
        <v>55</v>
      </c>
      <c r="F146" s="3">
        <v>80</v>
      </c>
      <c r="G146" s="2">
        <v>362</v>
      </c>
      <c r="H146" s="2">
        <v>80</v>
      </c>
      <c r="I146" s="3">
        <v>1040</v>
      </c>
      <c r="J146" s="3">
        <v>349</v>
      </c>
      <c r="K146" s="2">
        <v>117</v>
      </c>
      <c r="L146" s="2" t="s">
        <v>27</v>
      </c>
      <c r="M146" s="2"/>
      <c r="N146" s="2"/>
      <c r="O146" s="2" t="s">
        <v>28</v>
      </c>
      <c r="Q146" t="b">
        <f t="shared" si="2"/>
        <v>1</v>
      </c>
    </row>
    <row r="147" spans="1:17" x14ac:dyDescent="0.25">
      <c r="A147" s="2" t="s">
        <v>205</v>
      </c>
      <c r="B147" s="2" t="s">
        <v>25</v>
      </c>
      <c r="C147" s="4">
        <v>45593</v>
      </c>
      <c r="D147" s="2" t="s">
        <v>31</v>
      </c>
      <c r="E147" s="2" t="s">
        <v>105</v>
      </c>
      <c r="F147" s="3">
        <v>4929</v>
      </c>
      <c r="G147" s="2">
        <v>749</v>
      </c>
      <c r="H147" s="2">
        <v>452</v>
      </c>
      <c r="I147" s="3">
        <v>93651</v>
      </c>
      <c r="J147" s="3">
        <v>92810</v>
      </c>
      <c r="K147" s="2">
        <v>66</v>
      </c>
      <c r="L147" s="2" t="s">
        <v>33</v>
      </c>
      <c r="M147" s="2"/>
      <c r="N147" s="2"/>
      <c r="O147" s="2" t="s">
        <v>34</v>
      </c>
      <c r="Q147" t="b">
        <f t="shared" si="2"/>
        <v>1</v>
      </c>
    </row>
    <row r="148" spans="1:17" x14ac:dyDescent="0.25">
      <c r="A148" s="2" t="s">
        <v>206</v>
      </c>
      <c r="B148" s="2" t="s">
        <v>30</v>
      </c>
      <c r="C148" s="4">
        <v>45516</v>
      </c>
      <c r="D148" s="2" t="s">
        <v>39</v>
      </c>
      <c r="E148" s="2" t="s">
        <v>68</v>
      </c>
      <c r="F148" s="3">
        <v>1878</v>
      </c>
      <c r="G148" s="2">
        <v>62</v>
      </c>
      <c r="H148" s="2">
        <v>179</v>
      </c>
      <c r="I148" s="3">
        <v>37560</v>
      </c>
      <c r="J148" s="3">
        <v>36874</v>
      </c>
      <c r="K148" s="2">
        <v>142</v>
      </c>
      <c r="L148" s="2" t="s">
        <v>27</v>
      </c>
      <c r="M148" s="2"/>
      <c r="N148" s="2"/>
      <c r="O148" s="2" t="s">
        <v>34</v>
      </c>
      <c r="Q148" t="b">
        <f t="shared" si="2"/>
        <v>1</v>
      </c>
    </row>
    <row r="149" spans="1:17" x14ac:dyDescent="0.25">
      <c r="A149" s="2" t="s">
        <v>207</v>
      </c>
      <c r="B149" s="2" t="s">
        <v>25</v>
      </c>
      <c r="C149" s="4">
        <v>45448</v>
      </c>
      <c r="D149" s="2" t="s">
        <v>15</v>
      </c>
      <c r="E149" s="2" t="s">
        <v>26</v>
      </c>
      <c r="F149" s="3">
        <v>3065</v>
      </c>
      <c r="G149" s="2">
        <v>772</v>
      </c>
      <c r="H149" s="2">
        <v>142</v>
      </c>
      <c r="I149" s="3">
        <v>18390</v>
      </c>
      <c r="J149" s="3">
        <v>17875</v>
      </c>
      <c r="K149" s="2">
        <v>200</v>
      </c>
      <c r="L149" s="2" t="s">
        <v>33</v>
      </c>
      <c r="M149" s="2" t="s">
        <v>379</v>
      </c>
      <c r="N149" s="2"/>
      <c r="Q149" t="b">
        <f t="shared" si="2"/>
        <v>1</v>
      </c>
    </row>
    <row r="150" spans="1:17" x14ac:dyDescent="0.25">
      <c r="A150" s="2" t="s">
        <v>209</v>
      </c>
      <c r="B150" s="2" t="s">
        <v>30</v>
      </c>
      <c r="C150" s="4">
        <v>45586</v>
      </c>
      <c r="D150" s="2" t="s">
        <v>15</v>
      </c>
      <c r="E150" s="2" t="s">
        <v>64</v>
      </c>
      <c r="F150" s="3">
        <v>3256</v>
      </c>
      <c r="G150" s="2">
        <v>459</v>
      </c>
      <c r="H150" s="2">
        <v>266</v>
      </c>
      <c r="I150" s="3">
        <v>26048</v>
      </c>
      <c r="J150" s="3">
        <v>25529</v>
      </c>
      <c r="K150" s="2">
        <v>143</v>
      </c>
      <c r="L150" s="2" t="s">
        <v>27</v>
      </c>
      <c r="M150" s="2"/>
      <c r="N150" s="2"/>
      <c r="O150" s="2" t="s">
        <v>23</v>
      </c>
      <c r="Q150" t="b">
        <f t="shared" si="2"/>
        <v>1</v>
      </c>
    </row>
    <row r="151" spans="1:17" x14ac:dyDescent="0.25">
      <c r="A151" s="2" t="s">
        <v>210</v>
      </c>
      <c r="B151" s="2" t="s">
        <v>30</v>
      </c>
      <c r="C151" s="4">
        <v>45762</v>
      </c>
      <c r="D151" s="2" t="s">
        <v>59</v>
      </c>
      <c r="E151" s="2" t="s">
        <v>66</v>
      </c>
      <c r="F151" s="3">
        <v>4133</v>
      </c>
      <c r="G151" s="2">
        <v>466</v>
      </c>
      <c r="H151" s="2">
        <v>327</v>
      </c>
      <c r="I151" s="3">
        <v>24798</v>
      </c>
      <c r="J151" s="3">
        <v>24620</v>
      </c>
      <c r="K151" s="2">
        <v>176</v>
      </c>
      <c r="L151" s="2" t="s">
        <v>33</v>
      </c>
      <c r="M151" s="2"/>
      <c r="N151" s="2"/>
      <c r="O151" s="2" t="s">
        <v>34</v>
      </c>
      <c r="Q151" t="b">
        <f t="shared" si="2"/>
        <v>1</v>
      </c>
    </row>
    <row r="152" spans="1:17" x14ac:dyDescent="0.25">
      <c r="A152" s="2" t="s">
        <v>211</v>
      </c>
      <c r="B152" s="2" t="s">
        <v>14</v>
      </c>
      <c r="C152" s="4">
        <v>45459</v>
      </c>
      <c r="D152" s="2" t="s">
        <v>59</v>
      </c>
      <c r="E152" s="2" t="s">
        <v>99</v>
      </c>
      <c r="F152" s="3">
        <v>1702</v>
      </c>
      <c r="G152" s="2">
        <v>750</v>
      </c>
      <c r="H152" s="2">
        <v>179</v>
      </c>
      <c r="I152" s="3">
        <v>34040</v>
      </c>
      <c r="J152" s="3">
        <v>33174</v>
      </c>
      <c r="K152" s="2">
        <v>76</v>
      </c>
      <c r="L152" s="2" t="s">
        <v>33</v>
      </c>
      <c r="M152" s="2"/>
      <c r="N152" s="2"/>
      <c r="O152" s="2" t="s">
        <v>18</v>
      </c>
      <c r="Q152" t="b">
        <f t="shared" si="2"/>
        <v>1</v>
      </c>
    </row>
    <row r="153" spans="1:17" x14ac:dyDescent="0.25">
      <c r="A153" s="2" t="s">
        <v>212</v>
      </c>
      <c r="B153" s="2" t="s">
        <v>25</v>
      </c>
      <c r="C153" s="4">
        <v>45526</v>
      </c>
      <c r="D153" s="2" t="s">
        <v>39</v>
      </c>
      <c r="E153" s="2" t="s">
        <v>55</v>
      </c>
      <c r="F153" s="3">
        <v>4295</v>
      </c>
      <c r="G153" s="2">
        <v>853</v>
      </c>
      <c r="H153" s="2">
        <v>325</v>
      </c>
      <c r="I153" s="3">
        <v>85900</v>
      </c>
      <c r="J153" s="3">
        <v>85788</v>
      </c>
      <c r="K153" s="2">
        <v>290</v>
      </c>
      <c r="L153" s="2" t="s">
        <v>27</v>
      </c>
      <c r="M153" s="2"/>
      <c r="N153" s="2"/>
      <c r="O153" s="2" t="s">
        <v>34</v>
      </c>
      <c r="Q153" t="b">
        <f t="shared" si="2"/>
        <v>1</v>
      </c>
    </row>
    <row r="154" spans="1:17" x14ac:dyDescent="0.25">
      <c r="A154" s="2" t="s">
        <v>213</v>
      </c>
      <c r="B154" s="2" t="s">
        <v>30</v>
      </c>
      <c r="C154" s="4">
        <v>45499</v>
      </c>
      <c r="D154" s="2" t="s">
        <v>44</v>
      </c>
      <c r="E154" s="2" t="s">
        <v>140</v>
      </c>
      <c r="F154" s="3">
        <v>3559</v>
      </c>
      <c r="G154" s="2">
        <v>59</v>
      </c>
      <c r="H154" s="2">
        <v>289</v>
      </c>
      <c r="I154" s="3">
        <v>35590</v>
      </c>
      <c r="J154" s="3">
        <v>35105</v>
      </c>
      <c r="K154" s="2">
        <v>122</v>
      </c>
      <c r="L154" s="2" t="s">
        <v>33</v>
      </c>
      <c r="M154" s="2"/>
      <c r="N154" s="2"/>
      <c r="O154" s="2" t="s">
        <v>18</v>
      </c>
      <c r="Q154" t="b">
        <f t="shared" si="2"/>
        <v>1</v>
      </c>
    </row>
    <row r="155" spans="1:17" x14ac:dyDescent="0.25">
      <c r="A155" s="2" t="s">
        <v>214</v>
      </c>
      <c r="B155" s="2" t="s">
        <v>38</v>
      </c>
      <c r="C155" s="4">
        <v>45769</v>
      </c>
      <c r="D155" s="2" t="s">
        <v>44</v>
      </c>
      <c r="E155" s="2" t="s">
        <v>49</v>
      </c>
      <c r="F155" s="3">
        <v>4804</v>
      </c>
      <c r="G155" s="2">
        <v>550</v>
      </c>
      <c r="H155" s="2">
        <v>270</v>
      </c>
      <c r="I155" s="3">
        <v>28824</v>
      </c>
      <c r="J155" s="3">
        <v>28370</v>
      </c>
      <c r="K155" s="2">
        <v>47</v>
      </c>
      <c r="L155" s="2" t="s">
        <v>33</v>
      </c>
      <c r="M155" s="2"/>
      <c r="N155" s="2"/>
      <c r="O155" s="2" t="s">
        <v>34</v>
      </c>
      <c r="Q155" t="b">
        <f t="shared" si="2"/>
        <v>1</v>
      </c>
    </row>
    <row r="156" spans="1:17" x14ac:dyDescent="0.25">
      <c r="A156" s="2" t="s">
        <v>215</v>
      </c>
      <c r="B156" s="2" t="s">
        <v>14</v>
      </c>
      <c r="C156" s="4">
        <v>45658</v>
      </c>
      <c r="D156" s="2" t="s">
        <v>59</v>
      </c>
      <c r="E156" s="2" t="s">
        <v>99</v>
      </c>
      <c r="F156" s="3">
        <v>754</v>
      </c>
      <c r="G156" s="2">
        <v>197</v>
      </c>
      <c r="H156" s="2">
        <v>257</v>
      </c>
      <c r="I156" s="3">
        <v>6786</v>
      </c>
      <c r="J156" s="3">
        <v>6221</v>
      </c>
      <c r="K156" s="2">
        <v>212</v>
      </c>
      <c r="L156" s="2" t="s">
        <v>27</v>
      </c>
      <c r="M156" s="2"/>
      <c r="N156" s="2"/>
      <c r="O156" s="2" t="s">
        <v>28</v>
      </c>
      <c r="Q156" t="b">
        <f t="shared" si="2"/>
        <v>1</v>
      </c>
    </row>
    <row r="157" spans="1:17" x14ac:dyDescent="0.25">
      <c r="A157" s="2" t="s">
        <v>216</v>
      </c>
      <c r="B157" s="2" t="s">
        <v>30</v>
      </c>
      <c r="C157" s="4">
        <v>45574</v>
      </c>
      <c r="D157" s="2" t="s">
        <v>39</v>
      </c>
      <c r="E157" s="2" t="s">
        <v>68</v>
      </c>
      <c r="F157" s="3">
        <v>985</v>
      </c>
      <c r="G157" s="2">
        <v>932</v>
      </c>
      <c r="H157" s="2">
        <v>287</v>
      </c>
      <c r="I157" s="3">
        <v>6895</v>
      </c>
      <c r="J157" s="3">
        <v>6757</v>
      </c>
      <c r="K157" s="2">
        <v>64</v>
      </c>
      <c r="L157" s="2" t="s">
        <v>51</v>
      </c>
      <c r="M157" s="2"/>
      <c r="N157" s="2"/>
      <c r="O157" s="2" t="s">
        <v>34</v>
      </c>
      <c r="Q157" t="b">
        <f t="shared" si="2"/>
        <v>1</v>
      </c>
    </row>
    <row r="158" spans="1:17" x14ac:dyDescent="0.25">
      <c r="A158" s="2" t="s">
        <v>217</v>
      </c>
      <c r="B158" s="2" t="s">
        <v>25</v>
      </c>
      <c r="C158" s="4">
        <v>45647</v>
      </c>
      <c r="D158" s="2" t="s">
        <v>44</v>
      </c>
      <c r="E158" s="2" t="s">
        <v>45</v>
      </c>
      <c r="F158" s="3">
        <v>2283</v>
      </c>
      <c r="G158" s="2">
        <v>210</v>
      </c>
      <c r="H158" s="2">
        <v>130</v>
      </c>
      <c r="I158" s="3">
        <v>22830</v>
      </c>
      <c r="J158" s="3">
        <v>22617</v>
      </c>
      <c r="K158" s="2">
        <v>143</v>
      </c>
      <c r="L158" s="2" t="s">
        <v>51</v>
      </c>
      <c r="M158" s="2"/>
      <c r="N158" s="2"/>
      <c r="O158" s="2" t="s">
        <v>23</v>
      </c>
      <c r="Q158" t="b">
        <f t="shared" si="2"/>
        <v>1</v>
      </c>
    </row>
    <row r="159" spans="1:17" x14ac:dyDescent="0.25">
      <c r="A159" s="2" t="s">
        <v>218</v>
      </c>
      <c r="B159" s="2" t="s">
        <v>38</v>
      </c>
      <c r="C159" s="4">
        <v>45587</v>
      </c>
      <c r="D159" s="2" t="s">
        <v>39</v>
      </c>
      <c r="E159" s="2" t="s">
        <v>40</v>
      </c>
      <c r="F159" s="3">
        <v>3352</v>
      </c>
      <c r="G159" s="2">
        <v>941</v>
      </c>
      <c r="H159" s="2">
        <v>482</v>
      </c>
      <c r="I159" s="3">
        <v>43576</v>
      </c>
      <c r="J159" s="3">
        <v>43338</v>
      </c>
      <c r="K159" s="2">
        <v>240</v>
      </c>
      <c r="L159" s="2" t="s">
        <v>51</v>
      </c>
      <c r="M159" s="2"/>
      <c r="N159" s="2"/>
      <c r="O159" s="2" t="s">
        <v>23</v>
      </c>
      <c r="Q159" t="b">
        <f t="shared" si="2"/>
        <v>1</v>
      </c>
    </row>
    <row r="160" spans="1:17" x14ac:dyDescent="0.25">
      <c r="A160" s="2" t="s">
        <v>219</v>
      </c>
      <c r="B160" s="2" t="s">
        <v>25</v>
      </c>
      <c r="C160" s="4">
        <v>45496</v>
      </c>
      <c r="D160" s="2" t="s">
        <v>31</v>
      </c>
      <c r="E160" s="2" t="s">
        <v>105</v>
      </c>
      <c r="F160" s="3">
        <v>4775</v>
      </c>
      <c r="G160" s="2">
        <v>173</v>
      </c>
      <c r="H160" s="2">
        <v>206</v>
      </c>
      <c r="I160" s="3">
        <v>47750</v>
      </c>
      <c r="J160" s="3">
        <v>47544</v>
      </c>
      <c r="K160" s="2">
        <v>187</v>
      </c>
      <c r="L160" s="2" t="s">
        <v>51</v>
      </c>
      <c r="M160" s="2"/>
      <c r="N160" s="2"/>
      <c r="O160" s="2" t="s">
        <v>23</v>
      </c>
      <c r="Q160" t="b">
        <f t="shared" si="2"/>
        <v>1</v>
      </c>
    </row>
    <row r="161" spans="1:17" x14ac:dyDescent="0.25">
      <c r="A161" s="2" t="s">
        <v>220</v>
      </c>
      <c r="B161" s="2" t="s">
        <v>30</v>
      </c>
      <c r="C161" s="4">
        <v>45515</v>
      </c>
      <c r="D161" s="2" t="s">
        <v>31</v>
      </c>
      <c r="E161" s="2" t="s">
        <v>32</v>
      </c>
      <c r="F161" s="3">
        <v>1762</v>
      </c>
      <c r="G161" s="2">
        <v>405</v>
      </c>
      <c r="H161" s="2">
        <v>423</v>
      </c>
      <c r="I161" s="3">
        <v>22906</v>
      </c>
      <c r="J161" s="3">
        <v>21925</v>
      </c>
      <c r="K161" s="2">
        <v>25</v>
      </c>
      <c r="L161" s="2" t="s">
        <v>27</v>
      </c>
      <c r="M161" s="2"/>
      <c r="N161" s="2"/>
      <c r="O161" s="2" t="s">
        <v>18</v>
      </c>
      <c r="Q161" t="b">
        <f t="shared" si="2"/>
        <v>1</v>
      </c>
    </row>
    <row r="162" spans="1:17" x14ac:dyDescent="0.25">
      <c r="A162" s="2" t="s">
        <v>221</v>
      </c>
      <c r="B162" s="2" t="s">
        <v>38</v>
      </c>
      <c r="C162" s="4">
        <v>45621</v>
      </c>
      <c r="D162" s="2" t="s">
        <v>31</v>
      </c>
      <c r="E162" s="2" t="s">
        <v>57</v>
      </c>
      <c r="F162" s="3">
        <v>2120</v>
      </c>
      <c r="G162" s="2">
        <v>158</v>
      </c>
      <c r="H162" s="2">
        <v>488</v>
      </c>
      <c r="I162" s="3">
        <v>12720</v>
      </c>
      <c r="J162" s="3">
        <v>12085</v>
      </c>
      <c r="K162" s="2">
        <v>17</v>
      </c>
      <c r="L162" s="2" t="s">
        <v>51</v>
      </c>
      <c r="M162" s="2"/>
      <c r="N162" s="2"/>
      <c r="O162" s="2" t="s">
        <v>23</v>
      </c>
      <c r="Q162" t="b">
        <f t="shared" si="2"/>
        <v>1</v>
      </c>
    </row>
    <row r="163" spans="1:17" x14ac:dyDescent="0.25">
      <c r="A163" s="2" t="s">
        <v>222</v>
      </c>
      <c r="B163" s="2" t="s">
        <v>14</v>
      </c>
      <c r="C163" s="4">
        <v>45528</v>
      </c>
      <c r="D163" s="2" t="s">
        <v>59</v>
      </c>
      <c r="E163" s="2" t="s">
        <v>99</v>
      </c>
      <c r="F163" s="3">
        <v>1082</v>
      </c>
      <c r="G163" s="2">
        <v>209</v>
      </c>
      <c r="H163" s="2">
        <v>484</v>
      </c>
      <c r="I163" s="3">
        <v>19476</v>
      </c>
      <c r="J163" s="3">
        <v>18654</v>
      </c>
      <c r="K163" s="2">
        <v>20</v>
      </c>
      <c r="L163" s="2" t="s">
        <v>27</v>
      </c>
      <c r="M163" s="2"/>
      <c r="N163" s="2"/>
      <c r="Q163" t="b">
        <f t="shared" si="2"/>
        <v>1</v>
      </c>
    </row>
    <row r="164" spans="1:17" x14ac:dyDescent="0.25">
      <c r="A164" s="2" t="s">
        <v>223</v>
      </c>
      <c r="B164" s="2" t="s">
        <v>14</v>
      </c>
      <c r="C164" s="4">
        <v>45707</v>
      </c>
      <c r="D164" s="2" t="s">
        <v>20</v>
      </c>
      <c r="E164" s="2" t="s">
        <v>21</v>
      </c>
      <c r="F164" s="3">
        <v>4671</v>
      </c>
      <c r="G164" s="2">
        <v>876</v>
      </c>
      <c r="H164" s="2">
        <v>366</v>
      </c>
      <c r="I164" s="3">
        <v>51381</v>
      </c>
      <c r="J164" s="3">
        <v>50565</v>
      </c>
      <c r="K164" s="2">
        <v>245</v>
      </c>
      <c r="L164" s="2" t="s">
        <v>27</v>
      </c>
      <c r="M164" s="2"/>
      <c r="N164" s="2"/>
      <c r="O164" s="2" t="s">
        <v>34</v>
      </c>
      <c r="Q164" t="b">
        <f t="shared" si="2"/>
        <v>1</v>
      </c>
    </row>
    <row r="165" spans="1:17" x14ac:dyDescent="0.25">
      <c r="A165" s="2" t="s">
        <v>224</v>
      </c>
      <c r="B165" s="2" t="s">
        <v>38</v>
      </c>
      <c r="C165" s="4">
        <v>45748</v>
      </c>
      <c r="D165" s="2" t="s">
        <v>31</v>
      </c>
      <c r="E165" s="2" t="s">
        <v>57</v>
      </c>
      <c r="F165" s="3">
        <v>3430</v>
      </c>
      <c r="G165" s="2">
        <v>566</v>
      </c>
      <c r="H165" s="2">
        <v>164</v>
      </c>
      <c r="I165" s="3">
        <v>48020</v>
      </c>
      <c r="J165" s="3">
        <v>47305</v>
      </c>
      <c r="K165" s="2">
        <v>120</v>
      </c>
      <c r="L165" s="2" t="s">
        <v>51</v>
      </c>
      <c r="M165" s="2"/>
      <c r="N165" s="2"/>
      <c r="Q165" t="b">
        <f t="shared" si="2"/>
        <v>1</v>
      </c>
    </row>
    <row r="166" spans="1:17" x14ac:dyDescent="0.25">
      <c r="A166" s="2" t="s">
        <v>225</v>
      </c>
      <c r="B166" s="2" t="s">
        <v>30</v>
      </c>
      <c r="C166" s="4">
        <v>45755</v>
      </c>
      <c r="D166" s="2" t="s">
        <v>44</v>
      </c>
      <c r="E166" s="2" t="s">
        <v>140</v>
      </c>
      <c r="F166" s="3">
        <v>4501</v>
      </c>
      <c r="G166" s="2">
        <v>375</v>
      </c>
      <c r="H166" s="2">
        <v>323</v>
      </c>
      <c r="I166" s="3">
        <v>22505</v>
      </c>
      <c r="J166" s="3">
        <v>21836</v>
      </c>
      <c r="K166" s="2">
        <v>132</v>
      </c>
      <c r="L166" s="2" t="s">
        <v>27</v>
      </c>
      <c r="M166" s="2"/>
      <c r="N166" s="2"/>
      <c r="O166" s="2" t="s">
        <v>23</v>
      </c>
      <c r="Q166" t="b">
        <f t="shared" si="2"/>
        <v>1</v>
      </c>
    </row>
    <row r="167" spans="1:17" x14ac:dyDescent="0.25">
      <c r="A167" s="2" t="s">
        <v>226</v>
      </c>
      <c r="B167" s="2" t="s">
        <v>25</v>
      </c>
      <c r="C167" s="4">
        <v>45715</v>
      </c>
      <c r="D167" s="2" t="s">
        <v>20</v>
      </c>
      <c r="E167" s="2" t="s">
        <v>77</v>
      </c>
      <c r="F167" s="3">
        <v>4934</v>
      </c>
      <c r="G167" s="2">
        <v>971</v>
      </c>
      <c r="H167" s="2">
        <v>156</v>
      </c>
      <c r="I167" s="3">
        <v>39472</v>
      </c>
      <c r="J167" s="3">
        <v>39025</v>
      </c>
      <c r="K167" s="2">
        <v>169</v>
      </c>
      <c r="L167" s="2" t="s">
        <v>27</v>
      </c>
      <c r="M167" s="2" t="s">
        <v>379</v>
      </c>
      <c r="N167" s="2"/>
      <c r="O167" s="2" t="s">
        <v>34</v>
      </c>
      <c r="Q167" t="b">
        <f t="shared" si="2"/>
        <v>1</v>
      </c>
    </row>
    <row r="168" spans="1:17" x14ac:dyDescent="0.25">
      <c r="A168" s="2" t="s">
        <v>227</v>
      </c>
      <c r="B168" s="2" t="s">
        <v>14</v>
      </c>
      <c r="C168" s="4">
        <v>45637</v>
      </c>
      <c r="D168" s="2" t="s">
        <v>20</v>
      </c>
      <c r="E168" s="2" t="s">
        <v>21</v>
      </c>
      <c r="F168" s="3">
        <v>3239</v>
      </c>
      <c r="G168" s="2">
        <v>43</v>
      </c>
      <c r="H168" s="2">
        <v>211</v>
      </c>
      <c r="I168" s="3">
        <v>22673</v>
      </c>
      <c r="J168" s="3">
        <v>22171</v>
      </c>
      <c r="K168" s="2">
        <v>230</v>
      </c>
      <c r="L168" s="2" t="s">
        <v>27</v>
      </c>
      <c r="M168" s="2"/>
      <c r="N168" s="2"/>
      <c r="O168" s="2" t="s">
        <v>23</v>
      </c>
      <c r="Q168" t="b">
        <f t="shared" si="2"/>
        <v>1</v>
      </c>
    </row>
    <row r="169" spans="1:17" x14ac:dyDescent="0.25">
      <c r="A169" s="2" t="s">
        <v>228</v>
      </c>
      <c r="B169" s="2" t="s">
        <v>14</v>
      </c>
      <c r="C169" s="4">
        <v>45704</v>
      </c>
      <c r="D169" s="2" t="s">
        <v>15</v>
      </c>
      <c r="E169" s="2" t="s">
        <v>16</v>
      </c>
      <c r="F169" s="3">
        <v>1076</v>
      </c>
      <c r="G169" s="2">
        <v>313</v>
      </c>
      <c r="H169" s="2">
        <v>306</v>
      </c>
      <c r="I169" s="3">
        <v>11836</v>
      </c>
      <c r="J169" s="3">
        <v>11596</v>
      </c>
      <c r="K169" s="2">
        <v>104</v>
      </c>
      <c r="L169" s="2" t="s">
        <v>51</v>
      </c>
      <c r="M169" s="2"/>
      <c r="N169" s="2"/>
      <c r="O169" s="2" t="s">
        <v>18</v>
      </c>
      <c r="Q169" t="b">
        <f t="shared" si="2"/>
        <v>1</v>
      </c>
    </row>
    <row r="170" spans="1:17" x14ac:dyDescent="0.25">
      <c r="A170" s="2" t="s">
        <v>229</v>
      </c>
      <c r="B170" s="2" t="s">
        <v>30</v>
      </c>
      <c r="C170" s="4">
        <v>45624</v>
      </c>
      <c r="D170" s="2" t="s">
        <v>20</v>
      </c>
      <c r="E170" s="2" t="s">
        <v>82</v>
      </c>
      <c r="F170" s="3">
        <v>4771</v>
      </c>
      <c r="G170" s="2">
        <v>818</v>
      </c>
      <c r="H170" s="2">
        <v>56</v>
      </c>
      <c r="I170" s="3">
        <v>57252</v>
      </c>
      <c r="J170" s="3">
        <v>56378</v>
      </c>
      <c r="K170" s="2">
        <v>150</v>
      </c>
      <c r="L170" s="2" t="s">
        <v>51</v>
      </c>
      <c r="M170" s="2"/>
      <c r="N170" s="2"/>
      <c r="Q170" t="b">
        <f t="shared" si="2"/>
        <v>1</v>
      </c>
    </row>
    <row r="171" spans="1:17" x14ac:dyDescent="0.25">
      <c r="A171" s="2" t="s">
        <v>230</v>
      </c>
      <c r="B171" s="2" t="s">
        <v>38</v>
      </c>
      <c r="C171" s="4">
        <v>45608</v>
      </c>
      <c r="D171" s="2" t="s">
        <v>20</v>
      </c>
      <c r="E171" s="2" t="s">
        <v>47</v>
      </c>
      <c r="F171" s="3">
        <v>2418</v>
      </c>
      <c r="G171" s="2">
        <v>754</v>
      </c>
      <c r="H171" s="2">
        <v>54</v>
      </c>
      <c r="I171" s="3">
        <v>43524</v>
      </c>
      <c r="J171" s="3">
        <v>42743</v>
      </c>
      <c r="K171" s="2">
        <v>182</v>
      </c>
      <c r="L171" s="2" t="s">
        <v>33</v>
      </c>
      <c r="M171" s="2"/>
      <c r="N171" s="2"/>
      <c r="O171" s="2" t="s">
        <v>18</v>
      </c>
      <c r="Q171" t="b">
        <f t="shared" si="2"/>
        <v>1</v>
      </c>
    </row>
    <row r="172" spans="1:17" x14ac:dyDescent="0.25">
      <c r="A172" s="2" t="s">
        <v>231</v>
      </c>
      <c r="B172" s="2" t="s">
        <v>25</v>
      </c>
      <c r="C172" s="4">
        <v>45629</v>
      </c>
      <c r="D172" s="2" t="s">
        <v>59</v>
      </c>
      <c r="E172" s="2" t="s">
        <v>143</v>
      </c>
      <c r="F172" s="3">
        <v>3809</v>
      </c>
      <c r="G172" s="2">
        <v>273</v>
      </c>
      <c r="H172" s="2">
        <v>200</v>
      </c>
      <c r="I172" s="3">
        <v>34281</v>
      </c>
      <c r="J172" s="3">
        <v>33534</v>
      </c>
      <c r="K172" s="2">
        <v>83</v>
      </c>
      <c r="L172" s="2" t="s">
        <v>33</v>
      </c>
      <c r="M172" s="2"/>
      <c r="N172" s="2"/>
      <c r="O172" s="2" t="s">
        <v>18</v>
      </c>
      <c r="Q172" t="b">
        <f t="shared" si="2"/>
        <v>1</v>
      </c>
    </row>
    <row r="173" spans="1:17" x14ac:dyDescent="0.25">
      <c r="A173" s="2" t="s">
        <v>232</v>
      </c>
      <c r="B173" s="2" t="s">
        <v>14</v>
      </c>
      <c r="C173" s="4">
        <v>45775</v>
      </c>
      <c r="D173" s="2" t="s">
        <v>20</v>
      </c>
      <c r="E173" s="2" t="s">
        <v>21</v>
      </c>
      <c r="F173" s="3">
        <v>3577</v>
      </c>
      <c r="G173" s="2">
        <v>596</v>
      </c>
      <c r="H173" s="2">
        <v>493</v>
      </c>
      <c r="I173" s="3">
        <v>67963</v>
      </c>
      <c r="J173" s="3">
        <v>67839</v>
      </c>
      <c r="K173" s="2">
        <v>53</v>
      </c>
      <c r="L173" s="2" t="s">
        <v>27</v>
      </c>
      <c r="M173" s="2"/>
      <c r="N173" s="2"/>
      <c r="O173" s="2" t="s">
        <v>28</v>
      </c>
      <c r="Q173" t="b">
        <f t="shared" si="2"/>
        <v>1</v>
      </c>
    </row>
    <row r="174" spans="1:17" x14ac:dyDescent="0.25">
      <c r="A174" s="2" t="s">
        <v>233</v>
      </c>
      <c r="B174" s="2" t="s">
        <v>25</v>
      </c>
      <c r="C174" s="4">
        <v>45657</v>
      </c>
      <c r="D174" s="2" t="s">
        <v>59</v>
      </c>
      <c r="E174" s="2" t="s">
        <v>143</v>
      </c>
      <c r="F174" s="3">
        <v>1018</v>
      </c>
      <c r="G174" s="2">
        <v>447</v>
      </c>
      <c r="H174" s="2">
        <v>332</v>
      </c>
      <c r="I174" s="3">
        <v>18324</v>
      </c>
      <c r="J174" s="3">
        <v>18164</v>
      </c>
      <c r="K174" s="2">
        <v>38</v>
      </c>
      <c r="L174" s="2" t="s">
        <v>51</v>
      </c>
      <c r="M174" s="2"/>
      <c r="N174" s="2"/>
      <c r="O174" s="2" t="s">
        <v>23</v>
      </c>
      <c r="Q174" t="b">
        <f t="shared" si="2"/>
        <v>1</v>
      </c>
    </row>
    <row r="175" spans="1:17" x14ac:dyDescent="0.25">
      <c r="A175" s="2" t="s">
        <v>234</v>
      </c>
      <c r="B175" s="2" t="s">
        <v>38</v>
      </c>
      <c r="C175" s="4">
        <v>45518</v>
      </c>
      <c r="D175" s="2" t="s">
        <v>39</v>
      </c>
      <c r="E175" s="2" t="s">
        <v>40</v>
      </c>
      <c r="F175" s="3">
        <v>3073</v>
      </c>
      <c r="G175" s="2">
        <v>553</v>
      </c>
      <c r="H175" s="2">
        <v>174</v>
      </c>
      <c r="I175" s="3">
        <v>52241</v>
      </c>
      <c r="J175" s="3">
        <v>51605</v>
      </c>
      <c r="K175" s="2">
        <v>246</v>
      </c>
      <c r="L175" s="2" t="s">
        <v>33</v>
      </c>
      <c r="M175" s="2"/>
      <c r="N175" s="2"/>
      <c r="O175" s="2" t="s">
        <v>28</v>
      </c>
      <c r="Q175" t="b">
        <f t="shared" si="2"/>
        <v>1</v>
      </c>
    </row>
    <row r="176" spans="1:17" x14ac:dyDescent="0.25">
      <c r="A176" s="2" t="s">
        <v>235</v>
      </c>
      <c r="B176" s="2" t="s">
        <v>14</v>
      </c>
      <c r="C176" s="4">
        <v>45631</v>
      </c>
      <c r="D176" s="2" t="s">
        <v>59</v>
      </c>
      <c r="E176" s="2" t="s">
        <v>99</v>
      </c>
      <c r="F176" s="3">
        <v>1330</v>
      </c>
      <c r="G176" s="2">
        <v>925</v>
      </c>
      <c r="H176" s="2">
        <v>35</v>
      </c>
      <c r="I176" s="3">
        <v>15960</v>
      </c>
      <c r="J176" s="3">
        <v>15379</v>
      </c>
      <c r="K176" s="2">
        <v>229</v>
      </c>
      <c r="L176" s="2" t="s">
        <v>51</v>
      </c>
      <c r="M176" s="2"/>
      <c r="N176" s="2"/>
      <c r="O176" s="2" t="s">
        <v>28</v>
      </c>
      <c r="Q176" t="b">
        <f t="shared" si="2"/>
        <v>1</v>
      </c>
    </row>
    <row r="177" spans="1:17" x14ac:dyDescent="0.25">
      <c r="A177" s="2" t="s">
        <v>236</v>
      </c>
      <c r="B177" s="2" t="s">
        <v>38</v>
      </c>
      <c r="C177" s="4">
        <v>45465</v>
      </c>
      <c r="D177" s="2" t="s">
        <v>20</v>
      </c>
      <c r="E177" s="2" t="s">
        <v>47</v>
      </c>
      <c r="F177" s="3">
        <v>3828</v>
      </c>
      <c r="G177" s="2">
        <v>148</v>
      </c>
      <c r="H177" s="2">
        <v>253</v>
      </c>
      <c r="I177" s="3">
        <v>30624</v>
      </c>
      <c r="J177" s="3">
        <v>30229</v>
      </c>
      <c r="K177" s="2">
        <v>235</v>
      </c>
      <c r="L177" s="2" t="s">
        <v>33</v>
      </c>
      <c r="M177" s="2"/>
      <c r="N177" s="2"/>
      <c r="Q177" t="b">
        <f t="shared" si="2"/>
        <v>1</v>
      </c>
    </row>
    <row r="178" spans="1:17" x14ac:dyDescent="0.25">
      <c r="A178" s="2" t="s">
        <v>237</v>
      </c>
      <c r="B178" s="2" t="s">
        <v>30</v>
      </c>
      <c r="C178" s="4">
        <v>45674</v>
      </c>
      <c r="D178" s="2" t="s">
        <v>15</v>
      </c>
      <c r="E178" s="2" t="s">
        <v>64</v>
      </c>
      <c r="F178" s="3">
        <v>142</v>
      </c>
      <c r="G178" s="2">
        <v>784</v>
      </c>
      <c r="H178" s="2">
        <v>183</v>
      </c>
      <c r="I178" s="3">
        <v>1704</v>
      </c>
      <c r="J178" s="3">
        <v>995</v>
      </c>
      <c r="K178" s="2">
        <v>154</v>
      </c>
      <c r="L178" s="2" t="s">
        <v>51</v>
      </c>
      <c r="M178" s="2"/>
      <c r="N178" s="2"/>
      <c r="O178" s="2" t="s">
        <v>34</v>
      </c>
      <c r="Q178" t="b">
        <f t="shared" si="2"/>
        <v>1</v>
      </c>
    </row>
    <row r="179" spans="1:17" x14ac:dyDescent="0.25">
      <c r="A179" s="2" t="s">
        <v>238</v>
      </c>
      <c r="B179" s="2" t="s">
        <v>38</v>
      </c>
      <c r="C179" s="4">
        <v>45463</v>
      </c>
      <c r="D179" s="2" t="s">
        <v>59</v>
      </c>
      <c r="E179" s="2" t="s">
        <v>60</v>
      </c>
      <c r="F179" s="3">
        <v>3798</v>
      </c>
      <c r="G179" s="2">
        <v>31</v>
      </c>
      <c r="H179" s="2">
        <v>279</v>
      </c>
      <c r="I179" s="3">
        <v>75960</v>
      </c>
      <c r="J179" s="3">
        <v>75813</v>
      </c>
      <c r="K179" s="2">
        <v>266</v>
      </c>
      <c r="L179" s="2" t="s">
        <v>27</v>
      </c>
      <c r="M179" s="2"/>
      <c r="N179" s="2"/>
      <c r="O179" s="2" t="s">
        <v>18</v>
      </c>
      <c r="Q179" t="b">
        <f t="shared" si="2"/>
        <v>1</v>
      </c>
    </row>
    <row r="180" spans="1:17" x14ac:dyDescent="0.25">
      <c r="A180" s="2" t="s">
        <v>239</v>
      </c>
      <c r="B180" s="2" t="s">
        <v>30</v>
      </c>
      <c r="C180" s="4">
        <v>45483</v>
      </c>
      <c r="D180" s="2" t="s">
        <v>39</v>
      </c>
      <c r="E180" s="2" t="s">
        <v>68</v>
      </c>
      <c r="F180" s="3">
        <v>3099</v>
      </c>
      <c r="G180" s="2">
        <v>694</v>
      </c>
      <c r="H180" s="2">
        <v>171</v>
      </c>
      <c r="I180" s="3">
        <v>43386</v>
      </c>
      <c r="J180" s="3">
        <v>42921</v>
      </c>
      <c r="K180" s="2">
        <v>52</v>
      </c>
      <c r="L180" s="2" t="s">
        <v>27</v>
      </c>
      <c r="M180" s="2"/>
      <c r="N180" s="2"/>
      <c r="O180" s="2" t="s">
        <v>28</v>
      </c>
      <c r="Q180" t="b">
        <f t="shared" si="2"/>
        <v>1</v>
      </c>
    </row>
    <row r="181" spans="1:17" x14ac:dyDescent="0.25">
      <c r="A181" s="2" t="s">
        <v>240</v>
      </c>
      <c r="B181" s="2" t="s">
        <v>30</v>
      </c>
      <c r="C181" s="4">
        <v>45603</v>
      </c>
      <c r="D181" s="2" t="s">
        <v>59</v>
      </c>
      <c r="E181" s="2" t="s">
        <v>66</v>
      </c>
      <c r="F181" s="3">
        <v>129</v>
      </c>
      <c r="G181" s="2">
        <v>643</v>
      </c>
      <c r="H181" s="2">
        <v>136</v>
      </c>
      <c r="I181" s="3">
        <v>1290</v>
      </c>
      <c r="J181" s="3">
        <v>839</v>
      </c>
      <c r="K181" s="2">
        <v>238</v>
      </c>
      <c r="L181" s="2" t="s">
        <v>27</v>
      </c>
      <c r="M181" s="2"/>
      <c r="N181" s="2"/>
      <c r="O181" s="2" t="s">
        <v>34</v>
      </c>
      <c r="Q181" t="b">
        <f t="shared" si="2"/>
        <v>1</v>
      </c>
    </row>
    <row r="182" spans="1:17" x14ac:dyDescent="0.25">
      <c r="A182" s="2" t="s">
        <v>241</v>
      </c>
      <c r="B182" s="2" t="s">
        <v>38</v>
      </c>
      <c r="C182" s="4">
        <v>45488</v>
      </c>
      <c r="D182" s="2" t="s">
        <v>39</v>
      </c>
      <c r="E182" s="2" t="s">
        <v>40</v>
      </c>
      <c r="F182" s="3">
        <v>3796</v>
      </c>
      <c r="G182" s="2">
        <v>667</v>
      </c>
      <c r="H182" s="2">
        <v>395</v>
      </c>
      <c r="I182" s="3">
        <v>64532</v>
      </c>
      <c r="J182" s="3">
        <v>63550</v>
      </c>
      <c r="K182" s="2">
        <v>292</v>
      </c>
      <c r="L182" s="2" t="s">
        <v>27</v>
      </c>
      <c r="M182" s="2"/>
      <c r="N182" s="2"/>
      <c r="Q182" t="b">
        <f t="shared" si="2"/>
        <v>1</v>
      </c>
    </row>
    <row r="183" spans="1:17" x14ac:dyDescent="0.25">
      <c r="A183" s="2" t="s">
        <v>242</v>
      </c>
      <c r="B183" s="2" t="s">
        <v>25</v>
      </c>
      <c r="C183" s="4">
        <v>45629</v>
      </c>
      <c r="D183" s="2" t="s">
        <v>20</v>
      </c>
      <c r="E183" s="2" t="s">
        <v>77</v>
      </c>
      <c r="F183" s="3">
        <v>3711</v>
      </c>
      <c r="G183" s="2">
        <v>352</v>
      </c>
      <c r="H183" s="2">
        <v>290</v>
      </c>
      <c r="I183" s="3">
        <v>48243</v>
      </c>
      <c r="J183" s="3">
        <v>47579</v>
      </c>
      <c r="K183" s="2">
        <v>11</v>
      </c>
      <c r="L183" s="2" t="s">
        <v>27</v>
      </c>
      <c r="M183" s="2"/>
      <c r="N183" s="2"/>
      <c r="O183" s="2" t="s">
        <v>18</v>
      </c>
      <c r="Q183" t="b">
        <f t="shared" si="2"/>
        <v>1</v>
      </c>
    </row>
    <row r="184" spans="1:17" x14ac:dyDescent="0.25">
      <c r="A184" s="2" t="s">
        <v>243</v>
      </c>
      <c r="B184" s="2" t="s">
        <v>25</v>
      </c>
      <c r="C184" s="4">
        <v>45737</v>
      </c>
      <c r="D184" s="2" t="s">
        <v>44</v>
      </c>
      <c r="E184" s="2" t="s">
        <v>45</v>
      </c>
      <c r="F184" s="3">
        <v>606</v>
      </c>
      <c r="G184" s="2">
        <v>789</v>
      </c>
      <c r="H184" s="2">
        <v>470</v>
      </c>
      <c r="I184" s="3">
        <v>7878</v>
      </c>
      <c r="J184" s="3">
        <v>7389</v>
      </c>
      <c r="K184" s="2">
        <v>239</v>
      </c>
      <c r="L184" s="2" t="s">
        <v>33</v>
      </c>
      <c r="M184" s="2"/>
      <c r="N184" s="2"/>
      <c r="O184" s="2" t="s">
        <v>28</v>
      </c>
      <c r="Q184" t="b">
        <f t="shared" si="2"/>
        <v>1</v>
      </c>
    </row>
    <row r="185" spans="1:17" x14ac:dyDescent="0.25">
      <c r="A185" s="2" t="s">
        <v>244</v>
      </c>
      <c r="B185" s="2" t="s">
        <v>38</v>
      </c>
      <c r="C185" s="4">
        <v>45504</v>
      </c>
      <c r="D185" s="2" t="s">
        <v>44</v>
      </c>
      <c r="E185" s="2" t="s">
        <v>49</v>
      </c>
      <c r="F185" s="3">
        <v>4689</v>
      </c>
      <c r="G185" s="2">
        <v>134</v>
      </c>
      <c r="H185" s="2">
        <v>403</v>
      </c>
      <c r="I185" s="3">
        <v>51579</v>
      </c>
      <c r="J185" s="3">
        <v>50924</v>
      </c>
      <c r="K185" s="2">
        <v>173</v>
      </c>
      <c r="L185" s="2" t="s">
        <v>27</v>
      </c>
      <c r="M185" s="2"/>
      <c r="N185" s="2"/>
      <c r="O185" s="2" t="s">
        <v>34</v>
      </c>
      <c r="Q185" t="b">
        <f t="shared" si="2"/>
        <v>1</v>
      </c>
    </row>
    <row r="186" spans="1:17" x14ac:dyDescent="0.25">
      <c r="A186" s="2" t="s">
        <v>245</v>
      </c>
      <c r="B186" s="2" t="s">
        <v>30</v>
      </c>
      <c r="C186" s="4">
        <v>45643</v>
      </c>
      <c r="D186" s="2" t="s">
        <v>31</v>
      </c>
      <c r="E186" s="2" t="s">
        <v>32</v>
      </c>
      <c r="F186" s="3">
        <v>360</v>
      </c>
      <c r="G186" s="2">
        <v>590</v>
      </c>
      <c r="H186" s="2">
        <v>393</v>
      </c>
      <c r="I186" s="3">
        <v>4680</v>
      </c>
      <c r="J186" s="3">
        <v>4322</v>
      </c>
      <c r="K186" s="2">
        <v>208</v>
      </c>
      <c r="L186" s="2" t="s">
        <v>51</v>
      </c>
      <c r="M186" s="2"/>
      <c r="N186" s="2"/>
      <c r="O186" s="2" t="s">
        <v>23</v>
      </c>
      <c r="Q186" t="b">
        <f t="shared" si="2"/>
        <v>1</v>
      </c>
    </row>
    <row r="187" spans="1:17" x14ac:dyDescent="0.25">
      <c r="A187" s="2" t="s">
        <v>246</v>
      </c>
      <c r="B187" s="2" t="s">
        <v>14</v>
      </c>
      <c r="C187" s="4">
        <v>45501</v>
      </c>
      <c r="D187" s="2" t="s">
        <v>44</v>
      </c>
      <c r="E187" s="2" t="s">
        <v>92</v>
      </c>
      <c r="F187" s="3">
        <v>3215</v>
      </c>
      <c r="G187" s="2">
        <v>960</v>
      </c>
      <c r="H187" s="2">
        <v>202</v>
      </c>
      <c r="I187" s="3">
        <v>32150</v>
      </c>
      <c r="J187" s="3">
        <v>31404</v>
      </c>
      <c r="K187" s="2">
        <v>251</v>
      </c>
      <c r="L187" s="2" t="s">
        <v>33</v>
      </c>
      <c r="M187" s="2"/>
      <c r="N187" s="2"/>
      <c r="O187" s="2" t="s">
        <v>18</v>
      </c>
      <c r="Q187" t="b">
        <f t="shared" si="2"/>
        <v>1</v>
      </c>
    </row>
    <row r="188" spans="1:17" x14ac:dyDescent="0.25">
      <c r="A188" s="2" t="s">
        <v>247</v>
      </c>
      <c r="B188" s="2" t="s">
        <v>30</v>
      </c>
      <c r="C188" s="4">
        <v>45668</v>
      </c>
      <c r="D188" s="2" t="s">
        <v>39</v>
      </c>
      <c r="E188" s="2" t="s">
        <v>68</v>
      </c>
      <c r="F188" s="3">
        <v>4523</v>
      </c>
      <c r="G188" s="2">
        <v>61</v>
      </c>
      <c r="H188" s="2">
        <v>157</v>
      </c>
      <c r="I188" s="3">
        <v>49753</v>
      </c>
      <c r="J188" s="3">
        <v>49329</v>
      </c>
      <c r="K188" s="2">
        <v>71</v>
      </c>
      <c r="L188" s="2" t="s">
        <v>33</v>
      </c>
      <c r="M188" s="2"/>
      <c r="N188" s="2"/>
      <c r="Q188" t="b">
        <f t="shared" si="2"/>
        <v>1</v>
      </c>
    </row>
    <row r="189" spans="1:17" x14ac:dyDescent="0.25">
      <c r="A189" s="2" t="s">
        <v>248</v>
      </c>
      <c r="B189" s="2" t="s">
        <v>38</v>
      </c>
      <c r="C189" s="4">
        <v>45528</v>
      </c>
      <c r="D189" s="2" t="s">
        <v>39</v>
      </c>
      <c r="E189" s="2" t="s">
        <v>40</v>
      </c>
      <c r="F189" s="3">
        <v>4292</v>
      </c>
      <c r="G189" s="2">
        <v>51</v>
      </c>
      <c r="H189" s="2">
        <v>392</v>
      </c>
      <c r="I189" s="3">
        <v>55796</v>
      </c>
      <c r="J189" s="3">
        <v>54826</v>
      </c>
      <c r="K189" s="2">
        <v>264</v>
      </c>
      <c r="L189" s="2" t="s">
        <v>33</v>
      </c>
      <c r="M189" s="2"/>
      <c r="N189" s="2"/>
      <c r="O189" s="2" t="s">
        <v>28</v>
      </c>
      <c r="Q189" t="b">
        <f t="shared" si="2"/>
        <v>1</v>
      </c>
    </row>
    <row r="190" spans="1:17" x14ac:dyDescent="0.25">
      <c r="A190" s="2" t="s">
        <v>249</v>
      </c>
      <c r="B190" s="2" t="s">
        <v>14</v>
      </c>
      <c r="C190" s="4">
        <v>45648</v>
      </c>
      <c r="D190" s="2" t="s">
        <v>15</v>
      </c>
      <c r="E190" s="2" t="s">
        <v>16</v>
      </c>
      <c r="F190" s="3">
        <v>1644</v>
      </c>
      <c r="G190" s="2">
        <v>546</v>
      </c>
      <c r="H190" s="2">
        <v>150</v>
      </c>
      <c r="I190" s="3">
        <v>27948</v>
      </c>
      <c r="J190" s="3">
        <v>27184</v>
      </c>
      <c r="K190" s="2">
        <v>300</v>
      </c>
      <c r="L190" s="2" t="s">
        <v>33</v>
      </c>
      <c r="M190" s="2"/>
      <c r="N190" s="2"/>
      <c r="O190" s="2" t="s">
        <v>28</v>
      </c>
      <c r="Q190" t="b">
        <f t="shared" si="2"/>
        <v>1</v>
      </c>
    </row>
    <row r="191" spans="1:17" x14ac:dyDescent="0.25">
      <c r="A191" s="2" t="s">
        <v>250</v>
      </c>
      <c r="B191" s="2" t="s">
        <v>25</v>
      </c>
      <c r="C191" s="4">
        <v>45449</v>
      </c>
      <c r="D191" s="2" t="s">
        <v>15</v>
      </c>
      <c r="E191" s="2" t="s">
        <v>26</v>
      </c>
      <c r="F191" s="3">
        <v>2728</v>
      </c>
      <c r="G191" s="2">
        <v>533</v>
      </c>
      <c r="H191" s="2">
        <v>215</v>
      </c>
      <c r="I191" s="3">
        <v>40920</v>
      </c>
      <c r="J191" s="3">
        <v>40816</v>
      </c>
      <c r="K191" s="2">
        <v>137</v>
      </c>
      <c r="L191" s="2" t="s">
        <v>51</v>
      </c>
      <c r="M191" s="2"/>
      <c r="N191" s="2"/>
      <c r="O191" s="2" t="s">
        <v>23</v>
      </c>
      <c r="Q191" t="b">
        <f t="shared" si="2"/>
        <v>1</v>
      </c>
    </row>
    <row r="192" spans="1:17" x14ac:dyDescent="0.25">
      <c r="A192" s="2" t="s">
        <v>251</v>
      </c>
      <c r="B192" s="2" t="s">
        <v>38</v>
      </c>
      <c r="C192" s="4">
        <v>45740</v>
      </c>
      <c r="D192" s="2" t="s">
        <v>15</v>
      </c>
      <c r="E192" s="2" t="s">
        <v>53</v>
      </c>
      <c r="F192" s="3">
        <v>3360</v>
      </c>
      <c r="G192" s="2">
        <v>525</v>
      </c>
      <c r="H192" s="2">
        <v>500</v>
      </c>
      <c r="I192" s="3">
        <v>60480</v>
      </c>
      <c r="J192" s="3">
        <v>59610</v>
      </c>
      <c r="K192" s="2">
        <v>192</v>
      </c>
      <c r="L192" s="2" t="s">
        <v>27</v>
      </c>
      <c r="M192" s="2"/>
      <c r="N192" s="2"/>
      <c r="O192" s="2" t="s">
        <v>18</v>
      </c>
      <c r="Q192" t="b">
        <f t="shared" si="2"/>
        <v>1</v>
      </c>
    </row>
    <row r="193" spans="1:17" x14ac:dyDescent="0.25">
      <c r="A193" s="2" t="s">
        <v>252</v>
      </c>
      <c r="B193" s="2" t="s">
        <v>25</v>
      </c>
      <c r="C193" s="4">
        <v>45569</v>
      </c>
      <c r="D193" s="2" t="s">
        <v>20</v>
      </c>
      <c r="E193" s="2" t="s">
        <v>77</v>
      </c>
      <c r="F193" s="3">
        <v>1963</v>
      </c>
      <c r="G193" s="2">
        <v>213</v>
      </c>
      <c r="H193" s="2">
        <v>19</v>
      </c>
      <c r="I193" s="3">
        <v>39260</v>
      </c>
      <c r="J193" s="3">
        <v>38771</v>
      </c>
      <c r="K193" s="2">
        <v>145</v>
      </c>
      <c r="L193" s="2" t="s">
        <v>51</v>
      </c>
      <c r="M193" s="2"/>
      <c r="N193" s="2"/>
      <c r="Q193" t="b">
        <f t="shared" si="2"/>
        <v>1</v>
      </c>
    </row>
    <row r="194" spans="1:17" x14ac:dyDescent="0.25">
      <c r="A194" s="2" t="s">
        <v>253</v>
      </c>
      <c r="B194" s="2" t="s">
        <v>25</v>
      </c>
      <c r="C194" s="4">
        <v>45629</v>
      </c>
      <c r="D194" s="2" t="s">
        <v>31</v>
      </c>
      <c r="E194" s="2" t="s">
        <v>105</v>
      </c>
      <c r="F194" s="3">
        <v>4285</v>
      </c>
      <c r="G194" s="2">
        <v>886</v>
      </c>
      <c r="H194" s="2">
        <v>376</v>
      </c>
      <c r="I194" s="3">
        <v>55705</v>
      </c>
      <c r="J194" s="3">
        <v>55556</v>
      </c>
      <c r="K194" s="2">
        <v>51</v>
      </c>
      <c r="L194" s="2" t="s">
        <v>51</v>
      </c>
      <c r="M194" s="2"/>
      <c r="N194" s="2"/>
      <c r="O194" s="2" t="s">
        <v>28</v>
      </c>
      <c r="Q194" t="b">
        <f t="shared" si="2"/>
        <v>1</v>
      </c>
    </row>
    <row r="195" spans="1:17" x14ac:dyDescent="0.25">
      <c r="A195" s="2" t="s">
        <v>254</v>
      </c>
      <c r="B195" s="2" t="s">
        <v>30</v>
      </c>
      <c r="C195" s="4">
        <v>45625</v>
      </c>
      <c r="D195" s="2" t="s">
        <v>59</v>
      </c>
      <c r="E195" s="2" t="s">
        <v>66</v>
      </c>
      <c r="F195" s="3">
        <v>1176</v>
      </c>
      <c r="G195" s="2">
        <v>464</v>
      </c>
      <c r="H195" s="2">
        <v>394</v>
      </c>
      <c r="I195" s="3">
        <v>14112</v>
      </c>
      <c r="J195" s="3">
        <v>13588</v>
      </c>
      <c r="K195" s="2">
        <v>272</v>
      </c>
      <c r="L195" s="2" t="s">
        <v>33</v>
      </c>
      <c r="M195" s="2"/>
      <c r="N195" s="2"/>
      <c r="Q195" t="b">
        <f t="shared" si="2"/>
        <v>1</v>
      </c>
    </row>
    <row r="196" spans="1:17" x14ac:dyDescent="0.25">
      <c r="A196" s="2" t="s">
        <v>255</v>
      </c>
      <c r="B196" s="2" t="s">
        <v>14</v>
      </c>
      <c r="C196" s="4">
        <v>45546</v>
      </c>
      <c r="D196" s="2" t="s">
        <v>44</v>
      </c>
      <c r="E196" s="2" t="s">
        <v>92</v>
      </c>
      <c r="F196" s="3">
        <v>4858</v>
      </c>
      <c r="G196" s="2">
        <v>317</v>
      </c>
      <c r="H196" s="2">
        <v>129</v>
      </c>
      <c r="I196" s="3">
        <v>53438</v>
      </c>
      <c r="J196" s="3">
        <v>52687</v>
      </c>
      <c r="K196" s="2">
        <v>223</v>
      </c>
      <c r="L196" s="2" t="s">
        <v>33</v>
      </c>
      <c r="M196" s="2"/>
      <c r="N196" s="2"/>
      <c r="O196" s="2" t="s">
        <v>28</v>
      </c>
      <c r="Q196" t="b">
        <f t="shared" si="2"/>
        <v>1</v>
      </c>
    </row>
    <row r="197" spans="1:17" x14ac:dyDescent="0.25">
      <c r="A197" s="2" t="s">
        <v>256</v>
      </c>
      <c r="B197" s="2" t="s">
        <v>25</v>
      </c>
      <c r="C197" s="4">
        <v>45567</v>
      </c>
      <c r="D197" s="2" t="s">
        <v>31</v>
      </c>
      <c r="E197" s="2" t="s">
        <v>105</v>
      </c>
      <c r="F197" s="3">
        <v>4350</v>
      </c>
      <c r="G197" s="2">
        <v>771</v>
      </c>
      <c r="H197" s="2">
        <v>7</v>
      </c>
      <c r="I197" s="3">
        <v>60900</v>
      </c>
      <c r="J197" s="3">
        <v>60592</v>
      </c>
      <c r="K197" s="2">
        <v>195</v>
      </c>
      <c r="L197" s="2" t="s">
        <v>33</v>
      </c>
      <c r="M197" s="2"/>
      <c r="N197" s="2"/>
      <c r="O197" s="2" t="s">
        <v>18</v>
      </c>
      <c r="Q197" t="b">
        <f t="shared" ref="Q197:Q260" si="3">EXACT(B197,SUBSTITUTE(PROPER(B197),"Youtube","YouTube"))</f>
        <v>1</v>
      </c>
    </row>
    <row r="198" spans="1:17" x14ac:dyDescent="0.25">
      <c r="A198" s="2" t="s">
        <v>257</v>
      </c>
      <c r="B198" s="2" t="s">
        <v>30</v>
      </c>
      <c r="C198" s="4">
        <v>45519</v>
      </c>
      <c r="D198" s="2" t="s">
        <v>39</v>
      </c>
      <c r="E198" s="2" t="s">
        <v>68</v>
      </c>
      <c r="F198" s="3">
        <v>914</v>
      </c>
      <c r="G198" s="2">
        <v>464</v>
      </c>
      <c r="H198" s="2">
        <v>246</v>
      </c>
      <c r="I198" s="3">
        <v>11882</v>
      </c>
      <c r="J198" s="3">
        <v>11500</v>
      </c>
      <c r="K198" s="2">
        <v>282</v>
      </c>
      <c r="L198" s="2" t="s">
        <v>51</v>
      </c>
      <c r="M198" s="2" t="s">
        <v>27</v>
      </c>
      <c r="N198" s="2" t="s">
        <v>379</v>
      </c>
      <c r="O198" s="2" t="s">
        <v>34</v>
      </c>
      <c r="Q198" t="b">
        <f t="shared" si="3"/>
        <v>1</v>
      </c>
    </row>
    <row r="199" spans="1:17" x14ac:dyDescent="0.25">
      <c r="A199" s="2" t="s">
        <v>258</v>
      </c>
      <c r="B199" s="2" t="s">
        <v>30</v>
      </c>
      <c r="C199" s="4">
        <v>45645</v>
      </c>
      <c r="D199" s="2" t="s">
        <v>20</v>
      </c>
      <c r="E199" s="2" t="s">
        <v>82</v>
      </c>
      <c r="F199" s="3">
        <v>1813</v>
      </c>
      <c r="G199" s="2">
        <v>623</v>
      </c>
      <c r="H199" s="2">
        <v>72</v>
      </c>
      <c r="I199" s="3">
        <v>19943</v>
      </c>
      <c r="J199" s="3">
        <v>18959</v>
      </c>
      <c r="K199" s="2">
        <v>85</v>
      </c>
      <c r="L199" s="2" t="s">
        <v>33</v>
      </c>
      <c r="M199" s="2"/>
      <c r="N199" s="2"/>
      <c r="O199" s="2" t="s">
        <v>28</v>
      </c>
      <c r="Q199" t="b">
        <f t="shared" si="3"/>
        <v>1</v>
      </c>
    </row>
    <row r="200" spans="1:17" x14ac:dyDescent="0.25">
      <c r="A200" s="2" t="s">
        <v>259</v>
      </c>
      <c r="B200" s="2" t="s">
        <v>14</v>
      </c>
      <c r="C200" s="4">
        <v>45587</v>
      </c>
      <c r="D200" s="2" t="s">
        <v>15</v>
      </c>
      <c r="E200" s="2" t="s">
        <v>16</v>
      </c>
      <c r="F200" s="3">
        <v>4782</v>
      </c>
      <c r="G200" s="2">
        <v>721</v>
      </c>
      <c r="H200" s="2">
        <v>82</v>
      </c>
      <c r="I200" s="3">
        <v>86076</v>
      </c>
      <c r="J200" s="3">
        <v>85339</v>
      </c>
      <c r="K200" s="2">
        <v>19</v>
      </c>
      <c r="L200" s="2" t="s">
        <v>33</v>
      </c>
      <c r="M200" s="2"/>
      <c r="N200" s="2"/>
      <c r="O200" s="2" t="s">
        <v>18</v>
      </c>
      <c r="Q200" t="b">
        <f t="shared" si="3"/>
        <v>1</v>
      </c>
    </row>
    <row r="201" spans="1:17" x14ac:dyDescent="0.25">
      <c r="A201" s="2" t="s">
        <v>260</v>
      </c>
      <c r="B201" s="2" t="s">
        <v>14</v>
      </c>
      <c r="C201" s="4">
        <v>45549</v>
      </c>
      <c r="D201" s="2" t="s">
        <v>44</v>
      </c>
      <c r="E201" s="2" t="s">
        <v>92</v>
      </c>
      <c r="F201" s="3">
        <v>1048</v>
      </c>
      <c r="G201" s="2">
        <v>374</v>
      </c>
      <c r="H201" s="2">
        <v>450</v>
      </c>
      <c r="I201" s="3">
        <v>9432</v>
      </c>
      <c r="J201" s="3">
        <v>8882</v>
      </c>
      <c r="K201" s="2">
        <v>158</v>
      </c>
      <c r="L201" s="2" t="s">
        <v>27</v>
      </c>
      <c r="M201" s="2"/>
      <c r="N201" s="2"/>
      <c r="O201" s="2" t="s">
        <v>28</v>
      </c>
      <c r="Q201" t="b">
        <f t="shared" si="3"/>
        <v>1</v>
      </c>
    </row>
    <row r="202" spans="1:17" x14ac:dyDescent="0.25">
      <c r="A202" s="2" t="s">
        <v>261</v>
      </c>
      <c r="B202" s="2" t="s">
        <v>25</v>
      </c>
      <c r="C202" s="4">
        <v>45626</v>
      </c>
      <c r="D202" s="2" t="s">
        <v>39</v>
      </c>
      <c r="E202" s="2" t="s">
        <v>55</v>
      </c>
      <c r="F202" s="3">
        <v>2509</v>
      </c>
      <c r="G202" s="2">
        <v>324</v>
      </c>
      <c r="H202" s="2">
        <v>171</v>
      </c>
      <c r="I202" s="3">
        <v>35126</v>
      </c>
      <c r="J202" s="3">
        <v>34685</v>
      </c>
      <c r="K202" s="2">
        <v>277</v>
      </c>
      <c r="L202" s="2" t="s">
        <v>27</v>
      </c>
      <c r="M202" s="2"/>
      <c r="N202" s="2"/>
      <c r="O202" s="2" t="s">
        <v>23</v>
      </c>
      <c r="Q202" t="b">
        <f t="shared" si="3"/>
        <v>1</v>
      </c>
    </row>
    <row r="203" spans="1:17" x14ac:dyDescent="0.25">
      <c r="A203" s="2" t="s">
        <v>262</v>
      </c>
      <c r="B203" s="2" t="s">
        <v>38</v>
      </c>
      <c r="C203" s="4">
        <v>45754</v>
      </c>
      <c r="D203" s="2" t="s">
        <v>15</v>
      </c>
      <c r="E203" s="2" t="s">
        <v>53</v>
      </c>
      <c r="F203" s="3">
        <v>3718</v>
      </c>
      <c r="G203" s="2">
        <v>385</v>
      </c>
      <c r="H203" s="2">
        <v>310</v>
      </c>
      <c r="I203" s="3">
        <v>70642</v>
      </c>
      <c r="J203" s="3">
        <v>69749</v>
      </c>
      <c r="K203" s="2">
        <v>233</v>
      </c>
      <c r="L203" s="2" t="s">
        <v>27</v>
      </c>
      <c r="M203" s="2"/>
      <c r="N203" s="2"/>
      <c r="O203" s="2" t="s">
        <v>23</v>
      </c>
      <c r="Q203" t="b">
        <f t="shared" si="3"/>
        <v>1</v>
      </c>
    </row>
    <row r="204" spans="1:17" x14ac:dyDescent="0.25">
      <c r="A204" s="2" t="s">
        <v>263</v>
      </c>
      <c r="B204" s="2" t="s">
        <v>14</v>
      </c>
      <c r="C204" s="4">
        <v>45672</v>
      </c>
      <c r="D204" s="2" t="s">
        <v>15</v>
      </c>
      <c r="E204" s="2" t="s">
        <v>16</v>
      </c>
      <c r="F204" s="3">
        <v>802</v>
      </c>
      <c r="G204" s="2">
        <v>262</v>
      </c>
      <c r="H204" s="2">
        <v>244</v>
      </c>
      <c r="I204" s="3">
        <v>14436</v>
      </c>
      <c r="J204" s="3">
        <v>14280</v>
      </c>
      <c r="K204" s="2">
        <v>49</v>
      </c>
      <c r="L204" s="2" t="s">
        <v>33</v>
      </c>
      <c r="M204" s="2"/>
      <c r="N204" s="2"/>
      <c r="O204" s="2" t="s">
        <v>18</v>
      </c>
      <c r="Q204" t="b">
        <f t="shared" si="3"/>
        <v>1</v>
      </c>
    </row>
    <row r="205" spans="1:17" x14ac:dyDescent="0.25">
      <c r="A205" s="2" t="s">
        <v>264</v>
      </c>
      <c r="B205" s="2" t="s">
        <v>38</v>
      </c>
      <c r="C205" s="4">
        <v>45445</v>
      </c>
      <c r="D205" s="2" t="s">
        <v>44</v>
      </c>
      <c r="E205" s="2" t="s">
        <v>49</v>
      </c>
      <c r="F205" s="3">
        <v>1871</v>
      </c>
      <c r="G205" s="2">
        <v>252</v>
      </c>
      <c r="H205" s="2">
        <v>335</v>
      </c>
      <c r="I205" s="3">
        <v>29936</v>
      </c>
      <c r="J205" s="3">
        <v>29576</v>
      </c>
      <c r="K205" s="2">
        <v>288</v>
      </c>
      <c r="L205" s="2" t="s">
        <v>33</v>
      </c>
      <c r="M205" s="2"/>
      <c r="N205" s="2"/>
      <c r="O205" s="2" t="s">
        <v>28</v>
      </c>
      <c r="Q205" t="b">
        <f t="shared" si="3"/>
        <v>1</v>
      </c>
    </row>
    <row r="206" spans="1:17" x14ac:dyDescent="0.25">
      <c r="A206" s="2" t="s">
        <v>265</v>
      </c>
      <c r="B206" s="2" t="s">
        <v>30</v>
      </c>
      <c r="C206" s="4">
        <v>45617</v>
      </c>
      <c r="D206" s="2" t="s">
        <v>39</v>
      </c>
      <c r="E206" s="2" t="s">
        <v>68</v>
      </c>
      <c r="F206" s="3">
        <v>3773</v>
      </c>
      <c r="G206" s="2">
        <v>299</v>
      </c>
      <c r="H206" s="2">
        <v>38</v>
      </c>
      <c r="I206" s="3">
        <v>71687</v>
      </c>
      <c r="J206" s="3">
        <v>71447</v>
      </c>
      <c r="K206" s="2">
        <v>286</v>
      </c>
      <c r="L206" s="2" t="s">
        <v>51</v>
      </c>
      <c r="M206" s="2"/>
      <c r="N206" s="2"/>
      <c r="O206" s="2" t="s">
        <v>18</v>
      </c>
      <c r="Q206" t="b">
        <f t="shared" si="3"/>
        <v>1</v>
      </c>
    </row>
    <row r="207" spans="1:17" x14ac:dyDescent="0.25">
      <c r="A207" s="2" t="s">
        <v>266</v>
      </c>
      <c r="B207" s="2" t="s">
        <v>30</v>
      </c>
      <c r="C207" s="4">
        <v>45658</v>
      </c>
      <c r="D207" s="2" t="s">
        <v>39</v>
      </c>
      <c r="E207" s="2" t="s">
        <v>68</v>
      </c>
      <c r="F207" s="3">
        <v>2234</v>
      </c>
      <c r="G207" s="2">
        <v>653</v>
      </c>
      <c r="H207" s="2">
        <v>432</v>
      </c>
      <c r="I207" s="3">
        <v>11170</v>
      </c>
      <c r="J207" s="3">
        <v>10569</v>
      </c>
      <c r="K207" s="2">
        <v>198</v>
      </c>
      <c r="L207" s="2" t="s">
        <v>51</v>
      </c>
      <c r="M207" s="2"/>
      <c r="N207" s="2"/>
      <c r="O207" s="2" t="s">
        <v>28</v>
      </c>
      <c r="Q207" t="b">
        <f t="shared" si="3"/>
        <v>1</v>
      </c>
    </row>
    <row r="208" spans="1:17" x14ac:dyDescent="0.25">
      <c r="A208" s="2" t="s">
        <v>267</v>
      </c>
      <c r="B208" s="2" t="s">
        <v>14</v>
      </c>
      <c r="C208" s="4">
        <v>45771</v>
      </c>
      <c r="D208" s="2" t="s">
        <v>59</v>
      </c>
      <c r="E208" s="2" t="s">
        <v>99</v>
      </c>
      <c r="F208" s="3">
        <v>3820</v>
      </c>
      <c r="G208" s="2">
        <v>697</v>
      </c>
      <c r="H208" s="2">
        <v>268</v>
      </c>
      <c r="I208" s="3">
        <v>45840</v>
      </c>
      <c r="J208" s="3">
        <v>45631</v>
      </c>
      <c r="K208" s="2">
        <v>171</v>
      </c>
      <c r="L208" s="2" t="s">
        <v>27</v>
      </c>
      <c r="M208" s="2" t="s">
        <v>381</v>
      </c>
      <c r="N208" s="2"/>
      <c r="O208" s="2" t="s">
        <v>34</v>
      </c>
      <c r="Q208" t="b">
        <f t="shared" si="3"/>
        <v>1</v>
      </c>
    </row>
    <row r="209" spans="1:17" x14ac:dyDescent="0.25">
      <c r="A209" s="2" t="s">
        <v>269</v>
      </c>
      <c r="B209" s="2" t="s">
        <v>14</v>
      </c>
      <c r="C209" s="4">
        <v>45467</v>
      </c>
      <c r="D209" s="2" t="s">
        <v>20</v>
      </c>
      <c r="E209" s="2" t="s">
        <v>21</v>
      </c>
      <c r="F209" s="3">
        <v>941</v>
      </c>
      <c r="G209" s="2">
        <v>121</v>
      </c>
      <c r="H209" s="2">
        <v>458</v>
      </c>
      <c r="I209" s="3">
        <v>14115</v>
      </c>
      <c r="J209" s="3">
        <v>13838</v>
      </c>
      <c r="K209" s="2">
        <v>87</v>
      </c>
      <c r="L209" s="2" t="s">
        <v>33</v>
      </c>
      <c r="M209" s="2"/>
      <c r="N209" s="2"/>
      <c r="O209" s="2" t="s">
        <v>18</v>
      </c>
      <c r="Q209" t="b">
        <f t="shared" si="3"/>
        <v>1</v>
      </c>
    </row>
    <row r="210" spans="1:17" x14ac:dyDescent="0.25">
      <c r="A210" s="2" t="s">
        <v>270</v>
      </c>
      <c r="B210" s="2" t="s">
        <v>14</v>
      </c>
      <c r="C210" s="4">
        <v>45655</v>
      </c>
      <c r="D210" s="2" t="s">
        <v>39</v>
      </c>
      <c r="E210" s="2" t="s">
        <v>42</v>
      </c>
      <c r="F210" s="3">
        <v>4274</v>
      </c>
      <c r="G210" s="2">
        <v>340</v>
      </c>
      <c r="H210" s="2">
        <v>281</v>
      </c>
      <c r="I210" s="3">
        <v>34192</v>
      </c>
      <c r="J210" s="3">
        <v>33446</v>
      </c>
      <c r="K210" s="2">
        <v>129</v>
      </c>
      <c r="L210" s="2" t="s">
        <v>27</v>
      </c>
      <c r="M210" s="2" t="s">
        <v>381</v>
      </c>
      <c r="N210" s="2"/>
      <c r="O210" s="2" t="s">
        <v>28</v>
      </c>
      <c r="Q210" t="b">
        <f t="shared" si="3"/>
        <v>1</v>
      </c>
    </row>
    <row r="211" spans="1:17" x14ac:dyDescent="0.25">
      <c r="A211" s="2" t="s">
        <v>271</v>
      </c>
      <c r="B211" s="2" t="s">
        <v>25</v>
      </c>
      <c r="C211" s="4">
        <v>45467</v>
      </c>
      <c r="D211" s="2" t="s">
        <v>59</v>
      </c>
      <c r="E211" s="2" t="s">
        <v>143</v>
      </c>
      <c r="F211" s="3">
        <v>2949</v>
      </c>
      <c r="G211" s="2">
        <v>476</v>
      </c>
      <c r="H211" s="2">
        <v>403</v>
      </c>
      <c r="I211" s="3">
        <v>44235</v>
      </c>
      <c r="J211" s="3">
        <v>43705</v>
      </c>
      <c r="K211" s="2">
        <v>135</v>
      </c>
      <c r="L211" s="2" t="s">
        <v>27</v>
      </c>
      <c r="M211" s="2"/>
      <c r="N211" s="2"/>
      <c r="O211" s="2" t="s">
        <v>23</v>
      </c>
      <c r="Q211" t="b">
        <f t="shared" si="3"/>
        <v>1</v>
      </c>
    </row>
    <row r="212" spans="1:17" x14ac:dyDescent="0.25">
      <c r="A212" s="2" t="s">
        <v>272</v>
      </c>
      <c r="B212" s="2" t="s">
        <v>14</v>
      </c>
      <c r="C212" s="4">
        <v>45735</v>
      </c>
      <c r="D212" s="2" t="s">
        <v>59</v>
      </c>
      <c r="E212" s="2" t="s">
        <v>99</v>
      </c>
      <c r="F212" s="3">
        <v>3160</v>
      </c>
      <c r="G212" s="2">
        <v>204</v>
      </c>
      <c r="H212" s="2">
        <v>297</v>
      </c>
      <c r="I212" s="3">
        <v>44240</v>
      </c>
      <c r="J212" s="3">
        <v>43666</v>
      </c>
      <c r="K212" s="2">
        <v>49</v>
      </c>
      <c r="L212" s="2" t="s">
        <v>51</v>
      </c>
      <c r="M212" s="2" t="s">
        <v>379</v>
      </c>
      <c r="N212" s="2"/>
      <c r="O212" s="2" t="s">
        <v>34</v>
      </c>
      <c r="Q212" t="b">
        <f t="shared" si="3"/>
        <v>1</v>
      </c>
    </row>
    <row r="213" spans="1:17" x14ac:dyDescent="0.25">
      <c r="A213" s="2" t="s">
        <v>273</v>
      </c>
      <c r="B213" s="2" t="s">
        <v>25</v>
      </c>
      <c r="C213" s="4">
        <v>45707</v>
      </c>
      <c r="D213" s="2" t="s">
        <v>44</v>
      </c>
      <c r="E213" s="2" t="s">
        <v>45</v>
      </c>
      <c r="F213" s="3">
        <v>257</v>
      </c>
      <c r="G213" s="2">
        <v>966</v>
      </c>
      <c r="H213" s="2">
        <v>398</v>
      </c>
      <c r="I213" s="3">
        <v>3341</v>
      </c>
      <c r="J213" s="3">
        <v>2753</v>
      </c>
      <c r="K213" s="2">
        <v>287</v>
      </c>
      <c r="L213" s="2" t="s">
        <v>51</v>
      </c>
      <c r="M213" s="2"/>
      <c r="N213" s="2"/>
      <c r="O213" s="2" t="s">
        <v>18</v>
      </c>
      <c r="Q213" t="b">
        <f t="shared" si="3"/>
        <v>1</v>
      </c>
    </row>
    <row r="214" spans="1:17" x14ac:dyDescent="0.25">
      <c r="A214" s="2" t="s">
        <v>274</v>
      </c>
      <c r="B214" s="2" t="s">
        <v>14</v>
      </c>
      <c r="C214" s="4">
        <v>45491</v>
      </c>
      <c r="D214" s="2" t="s">
        <v>39</v>
      </c>
      <c r="E214" s="2" t="s">
        <v>42</v>
      </c>
      <c r="F214" s="3">
        <v>2120</v>
      </c>
      <c r="G214" s="2">
        <v>38</v>
      </c>
      <c r="H214" s="2">
        <v>212</v>
      </c>
      <c r="I214" s="3">
        <v>12720</v>
      </c>
      <c r="J214" s="3">
        <v>12564</v>
      </c>
      <c r="K214" s="2">
        <v>21</v>
      </c>
      <c r="L214" s="2" t="s">
        <v>51</v>
      </c>
      <c r="M214" s="2"/>
      <c r="N214" s="2"/>
      <c r="O214" s="2" t="s">
        <v>34</v>
      </c>
      <c r="Q214" t="b">
        <f t="shared" si="3"/>
        <v>1</v>
      </c>
    </row>
    <row r="215" spans="1:17" x14ac:dyDescent="0.25">
      <c r="A215" s="2" t="s">
        <v>275</v>
      </c>
      <c r="B215" s="2" t="s">
        <v>25</v>
      </c>
      <c r="C215" s="4">
        <v>45719</v>
      </c>
      <c r="D215" s="2" t="s">
        <v>59</v>
      </c>
      <c r="E215" s="2" t="s">
        <v>143</v>
      </c>
      <c r="F215" s="3">
        <v>3874</v>
      </c>
      <c r="G215" s="2">
        <v>884</v>
      </c>
      <c r="H215" s="2">
        <v>19</v>
      </c>
      <c r="I215" s="3">
        <v>38740</v>
      </c>
      <c r="J215" s="3">
        <v>38552</v>
      </c>
      <c r="K215" s="2">
        <v>219</v>
      </c>
      <c r="L215" s="2" t="s">
        <v>27</v>
      </c>
      <c r="M215" s="2"/>
      <c r="N215" s="2"/>
      <c r="O215" s="2" t="s">
        <v>23</v>
      </c>
      <c r="Q215" t="b">
        <f t="shared" si="3"/>
        <v>1</v>
      </c>
    </row>
    <row r="216" spans="1:17" x14ac:dyDescent="0.25">
      <c r="A216" s="2" t="s">
        <v>276</v>
      </c>
      <c r="B216" s="2" t="s">
        <v>38</v>
      </c>
      <c r="C216" s="4">
        <v>45778</v>
      </c>
      <c r="D216" s="2" t="s">
        <v>39</v>
      </c>
      <c r="E216" s="2" t="s">
        <v>40</v>
      </c>
      <c r="F216" s="3">
        <v>2696</v>
      </c>
      <c r="G216" s="2">
        <v>628</v>
      </c>
      <c r="H216" s="2">
        <v>443</v>
      </c>
      <c r="I216" s="3">
        <v>45832</v>
      </c>
      <c r="J216" s="3">
        <v>45632</v>
      </c>
      <c r="K216" s="2">
        <v>248</v>
      </c>
      <c r="L216" s="2" t="s">
        <v>33</v>
      </c>
      <c r="M216" s="2"/>
      <c r="N216" s="2"/>
      <c r="O216" s="2" t="s">
        <v>34</v>
      </c>
      <c r="Q216" t="b">
        <f t="shared" si="3"/>
        <v>1</v>
      </c>
    </row>
    <row r="217" spans="1:17" x14ac:dyDescent="0.25">
      <c r="A217" s="2" t="s">
        <v>277</v>
      </c>
      <c r="B217" s="2" t="s">
        <v>30</v>
      </c>
      <c r="C217" s="4">
        <v>45649</v>
      </c>
      <c r="D217" s="2" t="s">
        <v>44</v>
      </c>
      <c r="E217" s="2" t="s">
        <v>140</v>
      </c>
      <c r="F217" s="3">
        <v>521</v>
      </c>
      <c r="G217" s="2">
        <v>746</v>
      </c>
      <c r="H217" s="2">
        <v>315</v>
      </c>
      <c r="I217" s="3">
        <v>4168</v>
      </c>
      <c r="J217" s="3">
        <v>3399</v>
      </c>
      <c r="K217" s="2">
        <v>282</v>
      </c>
      <c r="L217" s="2" t="s">
        <v>51</v>
      </c>
      <c r="M217" s="2"/>
      <c r="N217" s="2"/>
      <c r="O217" s="2" t="s">
        <v>23</v>
      </c>
      <c r="Q217" t="b">
        <f t="shared" si="3"/>
        <v>1</v>
      </c>
    </row>
    <row r="218" spans="1:17" x14ac:dyDescent="0.25">
      <c r="A218" s="2" t="s">
        <v>278</v>
      </c>
      <c r="B218" s="2" t="s">
        <v>38</v>
      </c>
      <c r="C218" s="4">
        <v>45783</v>
      </c>
      <c r="D218" s="2" t="s">
        <v>44</v>
      </c>
      <c r="E218" s="2" t="s">
        <v>49</v>
      </c>
      <c r="F218" s="3">
        <v>4872</v>
      </c>
      <c r="G218" s="2">
        <v>925</v>
      </c>
      <c r="H218" s="2">
        <v>176</v>
      </c>
      <c r="I218" s="3">
        <v>82824</v>
      </c>
      <c r="J218" s="3">
        <v>82543</v>
      </c>
      <c r="K218" s="2">
        <v>89</v>
      </c>
      <c r="L218" s="2" t="s">
        <v>33</v>
      </c>
      <c r="M218" s="2"/>
      <c r="N218" s="2"/>
      <c r="O218" s="2" t="s">
        <v>23</v>
      </c>
      <c r="Q218" t="b">
        <f t="shared" si="3"/>
        <v>1</v>
      </c>
    </row>
    <row r="219" spans="1:17" x14ac:dyDescent="0.25">
      <c r="A219" s="2" t="s">
        <v>279</v>
      </c>
      <c r="B219" s="2" t="s">
        <v>25</v>
      </c>
      <c r="C219" s="4">
        <v>45502</v>
      </c>
      <c r="D219" s="2" t="s">
        <v>31</v>
      </c>
      <c r="E219" s="2" t="s">
        <v>105</v>
      </c>
      <c r="F219" s="3">
        <v>1509</v>
      </c>
      <c r="G219" s="2">
        <v>88</v>
      </c>
      <c r="H219" s="2">
        <v>163</v>
      </c>
      <c r="I219" s="3">
        <v>30180</v>
      </c>
      <c r="J219" s="3">
        <v>29689</v>
      </c>
      <c r="K219" s="2">
        <v>119</v>
      </c>
      <c r="L219" s="2" t="s">
        <v>33</v>
      </c>
      <c r="M219" s="2"/>
      <c r="N219" s="2"/>
      <c r="O219" s="2" t="s">
        <v>23</v>
      </c>
      <c r="Q219" t="b">
        <f t="shared" si="3"/>
        <v>1</v>
      </c>
    </row>
    <row r="220" spans="1:17" x14ac:dyDescent="0.25">
      <c r="A220" s="2" t="s">
        <v>280</v>
      </c>
      <c r="B220" s="2" t="s">
        <v>38</v>
      </c>
      <c r="C220" s="4">
        <v>45629</v>
      </c>
      <c r="D220" s="2" t="s">
        <v>44</v>
      </c>
      <c r="E220" s="2" t="s">
        <v>49</v>
      </c>
      <c r="F220" s="3">
        <v>4606</v>
      </c>
      <c r="G220" s="2">
        <v>931</v>
      </c>
      <c r="H220" s="2">
        <v>230</v>
      </c>
      <c r="I220" s="3">
        <v>92120</v>
      </c>
      <c r="J220" s="3">
        <v>91440</v>
      </c>
      <c r="K220" s="2">
        <v>56</v>
      </c>
      <c r="L220" s="2" t="s">
        <v>27</v>
      </c>
      <c r="M220" s="2"/>
      <c r="N220" s="2"/>
      <c r="Q220" t="b">
        <f t="shared" si="3"/>
        <v>1</v>
      </c>
    </row>
    <row r="221" spans="1:17" x14ac:dyDescent="0.25">
      <c r="A221" s="2" t="s">
        <v>281</v>
      </c>
      <c r="B221" s="2" t="s">
        <v>38</v>
      </c>
      <c r="C221" s="4">
        <v>45454</v>
      </c>
      <c r="D221" s="2" t="s">
        <v>39</v>
      </c>
      <c r="E221" s="2" t="s">
        <v>40</v>
      </c>
      <c r="F221" s="3">
        <v>1869</v>
      </c>
      <c r="G221" s="2">
        <v>453</v>
      </c>
      <c r="H221" s="2">
        <v>490</v>
      </c>
      <c r="I221" s="3">
        <v>14952</v>
      </c>
      <c r="J221" s="3">
        <v>14309</v>
      </c>
      <c r="K221" s="2">
        <v>275</v>
      </c>
      <c r="L221" s="2" t="s">
        <v>27</v>
      </c>
      <c r="M221" s="2"/>
      <c r="N221" s="2"/>
      <c r="O221" s="2" t="s">
        <v>34</v>
      </c>
      <c r="Q221" t="b">
        <f t="shared" si="3"/>
        <v>1</v>
      </c>
    </row>
    <row r="222" spans="1:17" x14ac:dyDescent="0.25">
      <c r="A222" s="2" t="s">
        <v>282</v>
      </c>
      <c r="B222" s="2" t="s">
        <v>14</v>
      </c>
      <c r="C222" s="4">
        <v>45685</v>
      </c>
      <c r="D222" s="2" t="s">
        <v>15</v>
      </c>
      <c r="E222" s="2" t="s">
        <v>16</v>
      </c>
      <c r="F222" s="3">
        <v>1188</v>
      </c>
      <c r="G222" s="2">
        <v>470</v>
      </c>
      <c r="H222" s="2">
        <v>174</v>
      </c>
      <c r="I222" s="3">
        <v>7128</v>
      </c>
      <c r="J222" s="3">
        <v>6145</v>
      </c>
      <c r="K222" s="2">
        <v>270</v>
      </c>
      <c r="L222" s="2" t="s">
        <v>27</v>
      </c>
      <c r="M222" s="2"/>
      <c r="N222" s="2"/>
      <c r="O222" s="2" t="s">
        <v>34</v>
      </c>
      <c r="Q222" t="b">
        <f t="shared" si="3"/>
        <v>1</v>
      </c>
    </row>
    <row r="223" spans="1:17" x14ac:dyDescent="0.25">
      <c r="A223" s="2" t="s">
        <v>283</v>
      </c>
      <c r="B223" s="2" t="s">
        <v>30</v>
      </c>
      <c r="C223" s="4">
        <v>45445</v>
      </c>
      <c r="D223" s="2" t="s">
        <v>31</v>
      </c>
      <c r="E223" s="2" t="s">
        <v>32</v>
      </c>
      <c r="F223" s="3">
        <v>84</v>
      </c>
      <c r="G223" s="2">
        <v>897</v>
      </c>
      <c r="H223" s="2">
        <v>85</v>
      </c>
      <c r="I223" s="3">
        <v>588</v>
      </c>
      <c r="J223" s="3">
        <v>8</v>
      </c>
      <c r="K223" s="2">
        <v>12</v>
      </c>
      <c r="L223" s="2" t="s">
        <v>33</v>
      </c>
      <c r="M223" s="2"/>
      <c r="N223" s="2"/>
      <c r="Q223" t="b">
        <f t="shared" si="3"/>
        <v>1</v>
      </c>
    </row>
    <row r="224" spans="1:17" x14ac:dyDescent="0.25">
      <c r="A224" s="2" t="s">
        <v>284</v>
      </c>
      <c r="B224" s="2" t="s">
        <v>38</v>
      </c>
      <c r="C224" s="4">
        <v>45739</v>
      </c>
      <c r="D224" s="2" t="s">
        <v>59</v>
      </c>
      <c r="E224" s="2" t="s">
        <v>60</v>
      </c>
      <c r="F224" s="3">
        <v>4453</v>
      </c>
      <c r="G224" s="2">
        <v>111</v>
      </c>
      <c r="H224" s="2">
        <v>420</v>
      </c>
      <c r="I224" s="3">
        <v>31171</v>
      </c>
      <c r="J224" s="3">
        <v>30565</v>
      </c>
      <c r="K224" s="2">
        <v>23</v>
      </c>
      <c r="L224" s="2" t="s">
        <v>27</v>
      </c>
      <c r="M224" s="2"/>
      <c r="N224" s="2"/>
      <c r="Q224" t="b">
        <f t="shared" si="3"/>
        <v>1</v>
      </c>
    </row>
    <row r="225" spans="1:17" x14ac:dyDescent="0.25">
      <c r="A225" s="2" t="s">
        <v>285</v>
      </c>
      <c r="B225" s="2" t="s">
        <v>38</v>
      </c>
      <c r="C225" s="4">
        <v>45573</v>
      </c>
      <c r="D225" s="2" t="s">
        <v>15</v>
      </c>
      <c r="E225" s="2" t="s">
        <v>53</v>
      </c>
      <c r="F225" s="3">
        <v>1814</v>
      </c>
      <c r="G225" s="2">
        <v>653</v>
      </c>
      <c r="H225" s="2">
        <v>363</v>
      </c>
      <c r="I225" s="3">
        <v>25396</v>
      </c>
      <c r="J225" s="3">
        <v>25286</v>
      </c>
      <c r="K225" s="2">
        <v>39</v>
      </c>
      <c r="L225" s="2" t="s">
        <v>51</v>
      </c>
      <c r="M225" s="2" t="s">
        <v>381</v>
      </c>
      <c r="N225" s="2"/>
      <c r="O225" s="2" t="s">
        <v>18</v>
      </c>
      <c r="Q225" t="b">
        <f t="shared" si="3"/>
        <v>1</v>
      </c>
    </row>
    <row r="226" spans="1:17" x14ac:dyDescent="0.25">
      <c r="A226" s="2" t="s">
        <v>287</v>
      </c>
      <c r="B226" s="2" t="s">
        <v>14</v>
      </c>
      <c r="C226" s="4">
        <v>45608</v>
      </c>
      <c r="D226" s="2" t="s">
        <v>44</v>
      </c>
      <c r="E226" s="2" t="s">
        <v>92</v>
      </c>
      <c r="F226" s="3">
        <v>3338</v>
      </c>
      <c r="G226" s="2">
        <v>277</v>
      </c>
      <c r="H226" s="2">
        <v>118</v>
      </c>
      <c r="I226" s="3">
        <v>60084</v>
      </c>
      <c r="J226" s="3">
        <v>59842</v>
      </c>
      <c r="K226" s="2">
        <v>252</v>
      </c>
      <c r="L226" s="2" t="s">
        <v>27</v>
      </c>
      <c r="M226" s="2"/>
      <c r="N226" s="2"/>
      <c r="Q226" t="b">
        <f t="shared" si="3"/>
        <v>1</v>
      </c>
    </row>
    <row r="227" spans="1:17" x14ac:dyDescent="0.25">
      <c r="A227" s="2" t="s">
        <v>288</v>
      </c>
      <c r="B227" s="2" t="s">
        <v>38</v>
      </c>
      <c r="C227" s="4">
        <v>45790</v>
      </c>
      <c r="D227" s="2" t="s">
        <v>44</v>
      </c>
      <c r="E227" s="2" t="s">
        <v>49</v>
      </c>
      <c r="F227" s="3">
        <v>602</v>
      </c>
      <c r="G227" s="2">
        <v>594</v>
      </c>
      <c r="H227" s="2">
        <v>156</v>
      </c>
      <c r="I227" s="3">
        <v>4214</v>
      </c>
      <c r="J227" s="3">
        <v>3363</v>
      </c>
      <c r="K227" s="2">
        <v>164</v>
      </c>
      <c r="L227" s="2" t="s">
        <v>27</v>
      </c>
      <c r="M227" s="2"/>
      <c r="N227" s="2"/>
      <c r="O227" s="2" t="s">
        <v>28</v>
      </c>
      <c r="Q227" t="b">
        <f t="shared" si="3"/>
        <v>1</v>
      </c>
    </row>
    <row r="228" spans="1:17" x14ac:dyDescent="0.25">
      <c r="A228" s="2" t="s">
        <v>289</v>
      </c>
      <c r="B228" s="2" t="s">
        <v>14</v>
      </c>
      <c r="C228" s="4">
        <v>45463</v>
      </c>
      <c r="D228" s="2" t="s">
        <v>39</v>
      </c>
      <c r="E228" s="2" t="s">
        <v>42</v>
      </c>
      <c r="F228" s="3">
        <v>4672</v>
      </c>
      <c r="G228" s="2">
        <v>325</v>
      </c>
      <c r="H228" s="2">
        <v>32</v>
      </c>
      <c r="I228" s="3">
        <v>88768</v>
      </c>
      <c r="J228" s="3">
        <v>87833</v>
      </c>
      <c r="K228" s="2">
        <v>118</v>
      </c>
      <c r="L228" s="2" t="s">
        <v>33</v>
      </c>
      <c r="M228" s="2"/>
      <c r="N228" s="2"/>
      <c r="Q228" t="b">
        <f t="shared" si="3"/>
        <v>1</v>
      </c>
    </row>
    <row r="229" spans="1:17" x14ac:dyDescent="0.25">
      <c r="A229" s="2" t="s">
        <v>290</v>
      </c>
      <c r="B229" s="2" t="s">
        <v>30</v>
      </c>
      <c r="C229" s="4">
        <v>45511</v>
      </c>
      <c r="D229" s="2" t="s">
        <v>39</v>
      </c>
      <c r="E229" s="2" t="s">
        <v>68</v>
      </c>
      <c r="F229" s="3">
        <v>1741</v>
      </c>
      <c r="G229" s="2">
        <v>164</v>
      </c>
      <c r="H229" s="2">
        <v>318</v>
      </c>
      <c r="I229" s="3">
        <v>8705</v>
      </c>
      <c r="J229" s="3">
        <v>8272</v>
      </c>
      <c r="K229" s="2">
        <v>121</v>
      </c>
      <c r="L229" s="2" t="s">
        <v>27</v>
      </c>
      <c r="M229" s="2"/>
      <c r="N229" s="2"/>
      <c r="Q229" t="b">
        <f t="shared" si="3"/>
        <v>1</v>
      </c>
    </row>
    <row r="230" spans="1:17" x14ac:dyDescent="0.25">
      <c r="A230" s="2" t="s">
        <v>291</v>
      </c>
      <c r="B230" s="2" t="s">
        <v>30</v>
      </c>
      <c r="C230" s="4">
        <v>45455</v>
      </c>
      <c r="D230" s="2" t="s">
        <v>20</v>
      </c>
      <c r="E230" s="2" t="s">
        <v>82</v>
      </c>
      <c r="F230" s="3">
        <v>246</v>
      </c>
      <c r="G230" s="2">
        <v>149</v>
      </c>
      <c r="H230" s="2">
        <v>130</v>
      </c>
      <c r="I230" s="3">
        <v>4674</v>
      </c>
      <c r="J230" s="3">
        <v>4390</v>
      </c>
      <c r="K230" s="2">
        <v>217</v>
      </c>
      <c r="L230" s="2" t="s">
        <v>51</v>
      </c>
      <c r="M230" s="2"/>
      <c r="N230" s="2"/>
      <c r="O230" s="2" t="s">
        <v>28</v>
      </c>
      <c r="Q230" t="b">
        <f t="shared" si="3"/>
        <v>1</v>
      </c>
    </row>
    <row r="231" spans="1:17" x14ac:dyDescent="0.25">
      <c r="A231" s="2" t="s">
        <v>292</v>
      </c>
      <c r="B231" s="2" t="s">
        <v>30</v>
      </c>
      <c r="C231" s="4">
        <v>45474</v>
      </c>
      <c r="D231" s="2" t="s">
        <v>31</v>
      </c>
      <c r="E231" s="2" t="s">
        <v>32</v>
      </c>
      <c r="F231" s="3">
        <v>4808</v>
      </c>
      <c r="G231" s="2">
        <v>772</v>
      </c>
      <c r="H231" s="2">
        <v>320</v>
      </c>
      <c r="I231" s="3">
        <v>72120</v>
      </c>
      <c r="J231" s="3">
        <v>71696</v>
      </c>
      <c r="K231" s="2">
        <v>195</v>
      </c>
      <c r="L231" s="2" t="s">
        <v>33</v>
      </c>
      <c r="M231" s="2"/>
      <c r="N231" s="2"/>
      <c r="O231" s="2" t="s">
        <v>18</v>
      </c>
      <c r="Q231" t="b">
        <f t="shared" si="3"/>
        <v>1</v>
      </c>
    </row>
    <row r="232" spans="1:17" x14ac:dyDescent="0.25">
      <c r="A232" s="2" t="s">
        <v>293</v>
      </c>
      <c r="B232" s="2" t="s">
        <v>30</v>
      </c>
      <c r="C232" s="4">
        <v>45476</v>
      </c>
      <c r="D232" s="2" t="s">
        <v>39</v>
      </c>
      <c r="E232" s="2" t="s">
        <v>68</v>
      </c>
      <c r="F232" s="3">
        <v>4799</v>
      </c>
      <c r="G232" s="2">
        <v>694</v>
      </c>
      <c r="H232" s="2">
        <v>289</v>
      </c>
      <c r="I232" s="3">
        <v>43191</v>
      </c>
      <c r="J232" s="3">
        <v>42228</v>
      </c>
      <c r="K232" s="2">
        <v>118</v>
      </c>
      <c r="L232" s="2" t="s">
        <v>27</v>
      </c>
      <c r="M232" s="2"/>
      <c r="N232" s="2"/>
      <c r="Q232" t="b">
        <f t="shared" si="3"/>
        <v>1</v>
      </c>
    </row>
    <row r="233" spans="1:17" x14ac:dyDescent="0.25">
      <c r="A233" s="2" t="s">
        <v>294</v>
      </c>
      <c r="B233" s="2" t="s">
        <v>38</v>
      </c>
      <c r="C233" s="4">
        <v>45488</v>
      </c>
      <c r="D233" s="2" t="s">
        <v>15</v>
      </c>
      <c r="E233" s="2" t="s">
        <v>53</v>
      </c>
      <c r="F233" s="3">
        <v>3663</v>
      </c>
      <c r="G233" s="2">
        <v>17</v>
      </c>
      <c r="H233" s="2">
        <v>295</v>
      </c>
      <c r="I233" s="3">
        <v>51282</v>
      </c>
      <c r="J233" s="3">
        <v>50567</v>
      </c>
      <c r="K233" s="2">
        <v>84</v>
      </c>
      <c r="L233" s="2" t="s">
        <v>33</v>
      </c>
      <c r="M233" s="2"/>
      <c r="N233" s="2"/>
      <c r="O233" s="2" t="s">
        <v>28</v>
      </c>
      <c r="Q233" t="b">
        <f t="shared" si="3"/>
        <v>1</v>
      </c>
    </row>
    <row r="234" spans="1:17" x14ac:dyDescent="0.25">
      <c r="A234" s="2" t="s">
        <v>295</v>
      </c>
      <c r="B234" s="2" t="s">
        <v>30</v>
      </c>
      <c r="C234" s="4">
        <v>45778</v>
      </c>
      <c r="D234" s="2" t="s">
        <v>20</v>
      </c>
      <c r="E234" s="2" t="s">
        <v>82</v>
      </c>
      <c r="F234" s="3">
        <v>1430</v>
      </c>
      <c r="G234" s="2">
        <v>376</v>
      </c>
      <c r="H234" s="2">
        <v>33</v>
      </c>
      <c r="I234" s="3">
        <v>21450</v>
      </c>
      <c r="J234" s="3">
        <v>20509</v>
      </c>
      <c r="K234" s="2">
        <v>251</v>
      </c>
      <c r="L234" s="2" t="s">
        <v>51</v>
      </c>
      <c r="M234" s="2"/>
      <c r="N234" s="2"/>
      <c r="O234" s="2" t="s">
        <v>18</v>
      </c>
      <c r="Q234" t="b">
        <f t="shared" si="3"/>
        <v>1</v>
      </c>
    </row>
    <row r="235" spans="1:17" x14ac:dyDescent="0.25">
      <c r="A235" s="2" t="s">
        <v>296</v>
      </c>
      <c r="B235" s="2" t="s">
        <v>14</v>
      </c>
      <c r="C235" s="4">
        <v>45776</v>
      </c>
      <c r="D235" s="2" t="s">
        <v>31</v>
      </c>
      <c r="E235" s="2" t="s">
        <v>102</v>
      </c>
      <c r="F235" s="3">
        <v>249</v>
      </c>
      <c r="G235" s="2">
        <v>592</v>
      </c>
      <c r="H235" s="2">
        <v>230</v>
      </c>
      <c r="I235" s="3">
        <v>1494</v>
      </c>
      <c r="J235" s="3">
        <v>1044</v>
      </c>
      <c r="K235" s="2">
        <v>201</v>
      </c>
      <c r="L235" s="2" t="s">
        <v>33</v>
      </c>
      <c r="M235" s="2"/>
      <c r="N235" s="2"/>
      <c r="O235" s="2" t="s">
        <v>34</v>
      </c>
      <c r="Q235" t="b">
        <f t="shared" si="3"/>
        <v>1</v>
      </c>
    </row>
    <row r="236" spans="1:17" x14ac:dyDescent="0.25">
      <c r="A236" s="2" t="s">
        <v>297</v>
      </c>
      <c r="B236" s="2" t="s">
        <v>38</v>
      </c>
      <c r="C236" s="4">
        <v>45724</v>
      </c>
      <c r="D236" s="2" t="s">
        <v>44</v>
      </c>
      <c r="E236" s="2" t="s">
        <v>49</v>
      </c>
      <c r="F236" s="3">
        <v>2382</v>
      </c>
      <c r="G236" s="2">
        <v>265</v>
      </c>
      <c r="H236" s="2">
        <v>134</v>
      </c>
      <c r="I236" s="3">
        <v>38112</v>
      </c>
      <c r="J236" s="3">
        <v>37437</v>
      </c>
      <c r="K236" s="2">
        <v>249</v>
      </c>
      <c r="L236" s="2" t="s">
        <v>51</v>
      </c>
      <c r="M236" s="2"/>
      <c r="N236" s="2"/>
      <c r="O236" s="2" t="s">
        <v>34</v>
      </c>
      <c r="Q236" t="b">
        <f t="shared" si="3"/>
        <v>1</v>
      </c>
    </row>
    <row r="237" spans="1:17" x14ac:dyDescent="0.25">
      <c r="A237" s="2" t="s">
        <v>298</v>
      </c>
      <c r="B237" s="2" t="s">
        <v>38</v>
      </c>
      <c r="C237" s="4">
        <v>45444</v>
      </c>
      <c r="D237" s="2" t="s">
        <v>20</v>
      </c>
      <c r="E237" s="2" t="s">
        <v>47</v>
      </c>
      <c r="F237" s="3">
        <v>1272</v>
      </c>
      <c r="G237" s="2">
        <v>465</v>
      </c>
      <c r="H237" s="2">
        <v>99</v>
      </c>
      <c r="I237" s="3">
        <v>24168</v>
      </c>
      <c r="J237" s="3">
        <v>23719</v>
      </c>
      <c r="K237" s="2">
        <v>42</v>
      </c>
      <c r="L237" s="2" t="s">
        <v>27</v>
      </c>
      <c r="M237" s="2"/>
      <c r="N237" s="2"/>
      <c r="Q237" t="b">
        <f t="shared" si="3"/>
        <v>1</v>
      </c>
    </row>
    <row r="238" spans="1:17" x14ac:dyDescent="0.25">
      <c r="A238" s="2" t="s">
        <v>299</v>
      </c>
      <c r="B238" s="2" t="s">
        <v>38</v>
      </c>
      <c r="C238" s="4">
        <v>45648</v>
      </c>
      <c r="D238" s="2" t="s">
        <v>44</v>
      </c>
      <c r="E238" s="2" t="s">
        <v>49</v>
      </c>
      <c r="F238" s="3">
        <v>3196</v>
      </c>
      <c r="G238" s="2">
        <v>941</v>
      </c>
      <c r="H238" s="2">
        <v>376</v>
      </c>
      <c r="I238" s="3">
        <v>35156</v>
      </c>
      <c r="J238" s="3">
        <v>34444</v>
      </c>
      <c r="K238" s="2">
        <v>241</v>
      </c>
      <c r="L238" s="2" t="s">
        <v>27</v>
      </c>
      <c r="M238" s="2"/>
      <c r="N238" s="2"/>
      <c r="O238" s="2" t="s">
        <v>28</v>
      </c>
      <c r="Q238" t="b">
        <f t="shared" si="3"/>
        <v>1</v>
      </c>
    </row>
    <row r="239" spans="1:17" x14ac:dyDescent="0.25">
      <c r="A239" s="2" t="s">
        <v>300</v>
      </c>
      <c r="B239" s="2" t="s">
        <v>38</v>
      </c>
      <c r="C239" s="4">
        <v>45523</v>
      </c>
      <c r="D239" s="2" t="s">
        <v>20</v>
      </c>
      <c r="E239" s="2" t="s">
        <v>47</v>
      </c>
      <c r="F239" s="3">
        <v>1257</v>
      </c>
      <c r="G239" s="2">
        <v>19</v>
      </c>
      <c r="H239" s="2">
        <v>351</v>
      </c>
      <c r="I239" s="3">
        <v>12570</v>
      </c>
      <c r="J239" s="3">
        <v>11660</v>
      </c>
      <c r="K239" s="2">
        <v>194</v>
      </c>
      <c r="L239" s="2" t="s">
        <v>51</v>
      </c>
      <c r="M239" s="2" t="s">
        <v>379</v>
      </c>
      <c r="N239" s="2" t="s">
        <v>33</v>
      </c>
      <c r="O239" s="2" t="s">
        <v>23</v>
      </c>
      <c r="Q239" t="b">
        <f t="shared" si="3"/>
        <v>1</v>
      </c>
    </row>
    <row r="240" spans="1:17" x14ac:dyDescent="0.25">
      <c r="A240" s="2" t="s">
        <v>302</v>
      </c>
      <c r="B240" s="2" t="s">
        <v>30</v>
      </c>
      <c r="C240" s="4">
        <v>45587</v>
      </c>
      <c r="D240" s="2" t="s">
        <v>31</v>
      </c>
      <c r="E240" s="2" t="s">
        <v>32</v>
      </c>
      <c r="F240" s="3">
        <v>3770</v>
      </c>
      <c r="G240" s="2">
        <v>917</v>
      </c>
      <c r="H240" s="2">
        <v>129</v>
      </c>
      <c r="I240" s="3">
        <v>71630</v>
      </c>
      <c r="J240" s="3">
        <v>71322</v>
      </c>
      <c r="K240" s="2">
        <v>76</v>
      </c>
      <c r="L240" s="2" t="s">
        <v>51</v>
      </c>
      <c r="M240" s="2"/>
      <c r="N240" s="2"/>
      <c r="O240" s="2" t="s">
        <v>18</v>
      </c>
      <c r="Q240" t="b">
        <f t="shared" si="3"/>
        <v>1</v>
      </c>
    </row>
    <row r="241" spans="1:17" x14ac:dyDescent="0.25">
      <c r="A241" s="2" t="s">
        <v>303</v>
      </c>
      <c r="B241" s="2" t="s">
        <v>14</v>
      </c>
      <c r="C241" s="4">
        <v>45489</v>
      </c>
      <c r="D241" s="2" t="s">
        <v>20</v>
      </c>
      <c r="E241" s="2" t="s">
        <v>21</v>
      </c>
      <c r="F241" s="3">
        <v>4725</v>
      </c>
      <c r="G241" s="2">
        <v>400</v>
      </c>
      <c r="H241" s="2">
        <v>362</v>
      </c>
      <c r="I241" s="3">
        <v>75600</v>
      </c>
      <c r="J241" s="3">
        <v>74927</v>
      </c>
      <c r="K241" s="2">
        <v>43</v>
      </c>
      <c r="L241" s="2" t="s">
        <v>51</v>
      </c>
      <c r="M241" s="2"/>
      <c r="N241" s="2"/>
      <c r="O241" s="2" t="s">
        <v>34</v>
      </c>
      <c r="Q241" t="b">
        <f t="shared" si="3"/>
        <v>1</v>
      </c>
    </row>
    <row r="242" spans="1:17" x14ac:dyDescent="0.25">
      <c r="A242" s="2" t="s">
        <v>304</v>
      </c>
      <c r="B242" s="2" t="s">
        <v>25</v>
      </c>
      <c r="C242" s="4">
        <v>45712</v>
      </c>
      <c r="D242" s="2" t="s">
        <v>20</v>
      </c>
      <c r="E242" s="2" t="s">
        <v>77</v>
      </c>
      <c r="F242" s="3">
        <v>4188</v>
      </c>
      <c r="G242" s="2">
        <v>942</v>
      </c>
      <c r="H242" s="2">
        <v>118</v>
      </c>
      <c r="I242" s="3">
        <v>20940</v>
      </c>
      <c r="J242" s="3">
        <v>20471</v>
      </c>
      <c r="K242" s="2">
        <v>102</v>
      </c>
      <c r="L242" s="2" t="s">
        <v>51</v>
      </c>
      <c r="M242" s="2"/>
      <c r="N242" s="2"/>
      <c r="Q242" t="b">
        <f t="shared" si="3"/>
        <v>1</v>
      </c>
    </row>
    <row r="243" spans="1:17" x14ac:dyDescent="0.25">
      <c r="A243" s="2" t="s">
        <v>305</v>
      </c>
      <c r="B243" s="2" t="s">
        <v>14</v>
      </c>
      <c r="C243" s="4">
        <v>45530</v>
      </c>
      <c r="D243" s="2" t="s">
        <v>39</v>
      </c>
      <c r="E243" s="2" t="s">
        <v>42</v>
      </c>
      <c r="F243" s="3">
        <v>929</v>
      </c>
      <c r="G243" s="2">
        <v>192</v>
      </c>
      <c r="H243" s="2">
        <v>322</v>
      </c>
      <c r="I243" s="3">
        <v>16722</v>
      </c>
      <c r="J243" s="3">
        <v>15996</v>
      </c>
      <c r="K243" s="2">
        <v>145</v>
      </c>
      <c r="L243" s="2" t="s">
        <v>33</v>
      </c>
      <c r="M243" s="2" t="s">
        <v>27</v>
      </c>
      <c r="N243" s="2" t="s">
        <v>379</v>
      </c>
      <c r="O243" s="2" t="s">
        <v>28</v>
      </c>
      <c r="Q243" t="b">
        <f t="shared" si="3"/>
        <v>1</v>
      </c>
    </row>
    <row r="244" spans="1:17" x14ac:dyDescent="0.25">
      <c r="A244" s="2" t="s">
        <v>306</v>
      </c>
      <c r="B244" s="2" t="s">
        <v>38</v>
      </c>
      <c r="C244" s="4">
        <v>45675</v>
      </c>
      <c r="D244" s="2" t="s">
        <v>31</v>
      </c>
      <c r="E244" s="2" t="s">
        <v>57</v>
      </c>
      <c r="F244" s="3">
        <v>4321</v>
      </c>
      <c r="G244" s="2">
        <v>874</v>
      </c>
      <c r="H244" s="2">
        <v>172</v>
      </c>
      <c r="I244" s="3">
        <v>30247</v>
      </c>
      <c r="J244" s="3">
        <v>29254</v>
      </c>
      <c r="K244" s="2">
        <v>122</v>
      </c>
      <c r="L244" s="2" t="s">
        <v>27</v>
      </c>
      <c r="M244" s="2"/>
      <c r="N244" s="2"/>
      <c r="O244" s="2" t="s">
        <v>34</v>
      </c>
      <c r="Q244" t="b">
        <f t="shared" si="3"/>
        <v>1</v>
      </c>
    </row>
    <row r="245" spans="1:17" x14ac:dyDescent="0.25">
      <c r="A245" s="2" t="s">
        <v>307</v>
      </c>
      <c r="B245" s="2" t="s">
        <v>38</v>
      </c>
      <c r="C245" s="4">
        <v>45480</v>
      </c>
      <c r="D245" s="2" t="s">
        <v>15</v>
      </c>
      <c r="E245" s="2" t="s">
        <v>53</v>
      </c>
      <c r="F245" s="3">
        <v>4767</v>
      </c>
      <c r="G245" s="2">
        <v>190</v>
      </c>
      <c r="H245" s="2">
        <v>340</v>
      </c>
      <c r="I245" s="3">
        <v>28602</v>
      </c>
      <c r="J245" s="3">
        <v>28044</v>
      </c>
      <c r="K245" s="2">
        <v>210</v>
      </c>
      <c r="L245" s="2" t="s">
        <v>33</v>
      </c>
      <c r="M245" s="2"/>
      <c r="N245" s="2"/>
      <c r="O245" s="2" t="s">
        <v>28</v>
      </c>
      <c r="Q245" t="b">
        <f t="shared" si="3"/>
        <v>1</v>
      </c>
    </row>
    <row r="246" spans="1:17" x14ac:dyDescent="0.25">
      <c r="A246" s="2" t="s">
        <v>308</v>
      </c>
      <c r="B246" s="2" t="s">
        <v>14</v>
      </c>
      <c r="C246" s="4">
        <v>45722</v>
      </c>
      <c r="D246" s="2" t="s">
        <v>44</v>
      </c>
      <c r="E246" s="2" t="s">
        <v>92</v>
      </c>
      <c r="F246" s="3">
        <v>3592</v>
      </c>
      <c r="G246" s="2">
        <v>911</v>
      </c>
      <c r="H246" s="2">
        <v>375</v>
      </c>
      <c r="I246" s="3">
        <v>50288</v>
      </c>
      <c r="J246" s="3">
        <v>49490</v>
      </c>
      <c r="K246" s="2">
        <v>32</v>
      </c>
      <c r="L246" s="2" t="s">
        <v>51</v>
      </c>
      <c r="M246" s="2"/>
      <c r="N246" s="2"/>
      <c r="O246" s="2" t="s">
        <v>34</v>
      </c>
      <c r="Q246" t="b">
        <f t="shared" si="3"/>
        <v>1</v>
      </c>
    </row>
    <row r="247" spans="1:17" x14ac:dyDescent="0.25">
      <c r="A247" s="2" t="s">
        <v>309</v>
      </c>
      <c r="B247" s="2" t="s">
        <v>25</v>
      </c>
      <c r="C247" s="4">
        <v>45590</v>
      </c>
      <c r="D247" s="2" t="s">
        <v>59</v>
      </c>
      <c r="E247" s="2" t="s">
        <v>143</v>
      </c>
      <c r="F247" s="3">
        <v>4661</v>
      </c>
      <c r="G247" s="2">
        <v>935</v>
      </c>
      <c r="H247" s="2">
        <v>433</v>
      </c>
      <c r="I247" s="3">
        <v>23305</v>
      </c>
      <c r="J247" s="3">
        <v>22583</v>
      </c>
      <c r="K247" s="2">
        <v>63</v>
      </c>
      <c r="L247" s="2" t="s">
        <v>51</v>
      </c>
      <c r="M247" s="2"/>
      <c r="N247" s="2"/>
      <c r="O247" s="2" t="s">
        <v>28</v>
      </c>
      <c r="Q247" t="b">
        <f t="shared" si="3"/>
        <v>1</v>
      </c>
    </row>
    <row r="248" spans="1:17" x14ac:dyDescent="0.25">
      <c r="A248" s="2" t="s">
        <v>310</v>
      </c>
      <c r="B248" s="2" t="s">
        <v>38</v>
      </c>
      <c r="C248" s="4">
        <v>45669</v>
      </c>
      <c r="D248" s="2" t="s">
        <v>15</v>
      </c>
      <c r="E248" s="2" t="s">
        <v>53</v>
      </c>
      <c r="F248" s="3">
        <v>4134</v>
      </c>
      <c r="G248" s="2">
        <v>824</v>
      </c>
      <c r="H248" s="2">
        <v>99</v>
      </c>
      <c r="I248" s="3">
        <v>41340</v>
      </c>
      <c r="J248" s="3">
        <v>41050</v>
      </c>
      <c r="K248" s="2">
        <v>177</v>
      </c>
      <c r="L248" s="2" t="s">
        <v>33</v>
      </c>
      <c r="M248" s="2"/>
      <c r="N248" s="2"/>
      <c r="O248" s="2" t="s">
        <v>18</v>
      </c>
      <c r="Q248" t="b">
        <f t="shared" si="3"/>
        <v>1</v>
      </c>
    </row>
    <row r="249" spans="1:17" x14ac:dyDescent="0.25">
      <c r="A249" s="2" t="s">
        <v>311</v>
      </c>
      <c r="B249" s="2" t="s">
        <v>38</v>
      </c>
      <c r="C249" s="4">
        <v>45576</v>
      </c>
      <c r="D249" s="2" t="s">
        <v>44</v>
      </c>
      <c r="E249" s="2" t="s">
        <v>49</v>
      </c>
      <c r="F249" s="3">
        <v>400</v>
      </c>
      <c r="G249" s="2">
        <v>680</v>
      </c>
      <c r="H249" s="2">
        <v>434</v>
      </c>
      <c r="I249" s="3">
        <v>6400</v>
      </c>
      <c r="J249" s="3">
        <v>5472</v>
      </c>
      <c r="K249" s="2">
        <v>160</v>
      </c>
      <c r="L249" s="2" t="s">
        <v>51</v>
      </c>
      <c r="M249" s="2"/>
      <c r="N249" s="2"/>
      <c r="O249" s="2" t="s">
        <v>23</v>
      </c>
      <c r="Q249" t="b">
        <f t="shared" si="3"/>
        <v>1</v>
      </c>
    </row>
    <row r="250" spans="1:17" x14ac:dyDescent="0.25">
      <c r="A250" s="2" t="s">
        <v>312</v>
      </c>
      <c r="B250" s="2" t="s">
        <v>38</v>
      </c>
      <c r="C250" s="4">
        <v>45531</v>
      </c>
      <c r="D250" s="2" t="s">
        <v>15</v>
      </c>
      <c r="E250" s="2" t="s">
        <v>53</v>
      </c>
      <c r="F250" s="3">
        <v>3960</v>
      </c>
      <c r="G250" s="2">
        <v>266</v>
      </c>
      <c r="H250" s="2">
        <v>8</v>
      </c>
      <c r="I250" s="3">
        <v>35640</v>
      </c>
      <c r="J250" s="3">
        <v>34850</v>
      </c>
      <c r="K250" s="2">
        <v>208</v>
      </c>
      <c r="L250" s="2" t="s">
        <v>51</v>
      </c>
      <c r="M250" s="2" t="s">
        <v>33</v>
      </c>
      <c r="N250" s="2" t="s">
        <v>380</v>
      </c>
      <c r="Q250" t="b">
        <f t="shared" si="3"/>
        <v>1</v>
      </c>
    </row>
    <row r="251" spans="1:17" x14ac:dyDescent="0.25">
      <c r="A251" s="2" t="s">
        <v>314</v>
      </c>
      <c r="B251" s="2" t="s">
        <v>38</v>
      </c>
      <c r="C251" s="4">
        <v>45690</v>
      </c>
      <c r="D251" s="2" t="s">
        <v>31</v>
      </c>
      <c r="E251" s="2" t="s">
        <v>57</v>
      </c>
      <c r="F251" s="3">
        <v>886</v>
      </c>
      <c r="G251" s="2">
        <v>126</v>
      </c>
      <c r="H251" s="2">
        <v>153</v>
      </c>
      <c r="I251" s="3">
        <v>4430</v>
      </c>
      <c r="J251" s="3">
        <v>4037</v>
      </c>
      <c r="K251" s="2">
        <v>212</v>
      </c>
      <c r="L251" s="2" t="s">
        <v>33</v>
      </c>
      <c r="M251" s="2"/>
      <c r="N251" s="2"/>
      <c r="Q251" t="b">
        <f t="shared" si="3"/>
        <v>1</v>
      </c>
    </row>
    <row r="252" spans="1:17" x14ac:dyDescent="0.25">
      <c r="A252" s="2" t="s">
        <v>315</v>
      </c>
      <c r="B252" s="2" t="s">
        <v>14</v>
      </c>
      <c r="C252" s="4">
        <v>45491</v>
      </c>
      <c r="D252" s="2" t="s">
        <v>44</v>
      </c>
      <c r="E252" s="2" t="s">
        <v>92</v>
      </c>
      <c r="F252" s="3">
        <v>827</v>
      </c>
      <c r="G252" s="2">
        <v>77</v>
      </c>
      <c r="H252" s="2">
        <v>402</v>
      </c>
      <c r="I252" s="3">
        <v>14886</v>
      </c>
      <c r="J252" s="3">
        <v>14129</v>
      </c>
      <c r="K252" s="2">
        <v>254</v>
      </c>
      <c r="L252" s="2" t="s">
        <v>33</v>
      </c>
      <c r="M252" s="2"/>
      <c r="N252" s="2"/>
      <c r="O252" s="2" t="s">
        <v>23</v>
      </c>
      <c r="Q252" t="b">
        <f t="shared" si="3"/>
        <v>1</v>
      </c>
    </row>
    <row r="253" spans="1:17" x14ac:dyDescent="0.25">
      <c r="A253" s="2" t="s">
        <v>316</v>
      </c>
      <c r="B253" s="2" t="s">
        <v>38</v>
      </c>
      <c r="C253" s="4">
        <v>45465</v>
      </c>
      <c r="D253" s="2" t="s">
        <v>15</v>
      </c>
      <c r="E253" s="2" t="s">
        <v>53</v>
      </c>
      <c r="F253" s="3">
        <v>3813</v>
      </c>
      <c r="G253" s="2">
        <v>935</v>
      </c>
      <c r="H253" s="2">
        <v>274</v>
      </c>
      <c r="I253" s="3">
        <v>68634</v>
      </c>
      <c r="J253" s="3">
        <v>68488</v>
      </c>
      <c r="K253" s="2">
        <v>251</v>
      </c>
      <c r="L253" s="2" t="s">
        <v>51</v>
      </c>
      <c r="M253" s="2"/>
      <c r="N253" s="2"/>
      <c r="Q253" t="b">
        <f t="shared" si="3"/>
        <v>1</v>
      </c>
    </row>
    <row r="254" spans="1:17" x14ac:dyDescent="0.25">
      <c r="A254" s="2" t="s">
        <v>317</v>
      </c>
      <c r="B254" s="2" t="s">
        <v>30</v>
      </c>
      <c r="C254" s="4">
        <v>45743</v>
      </c>
      <c r="D254" s="2" t="s">
        <v>39</v>
      </c>
      <c r="E254" s="2" t="s">
        <v>68</v>
      </c>
      <c r="F254" s="3">
        <v>1377</v>
      </c>
      <c r="G254" s="2">
        <v>796</v>
      </c>
      <c r="H254" s="2">
        <v>387</v>
      </c>
      <c r="I254" s="3">
        <v>22032</v>
      </c>
      <c r="J254" s="3">
        <v>21869</v>
      </c>
      <c r="K254" s="2">
        <v>189</v>
      </c>
      <c r="L254" s="2" t="s">
        <v>51</v>
      </c>
      <c r="M254" s="2"/>
      <c r="N254" s="2"/>
      <c r="Q254" t="b">
        <f t="shared" si="3"/>
        <v>1</v>
      </c>
    </row>
    <row r="255" spans="1:17" x14ac:dyDescent="0.25">
      <c r="A255" s="2" t="s">
        <v>318</v>
      </c>
      <c r="B255" s="2" t="s">
        <v>38</v>
      </c>
      <c r="C255" s="4">
        <v>45775</v>
      </c>
      <c r="D255" s="2" t="s">
        <v>39</v>
      </c>
      <c r="E255" s="2" t="s">
        <v>40</v>
      </c>
      <c r="F255" s="3">
        <v>2089</v>
      </c>
      <c r="G255" s="2">
        <v>476</v>
      </c>
      <c r="H255" s="2">
        <v>69</v>
      </c>
      <c r="I255" s="3">
        <v>16712</v>
      </c>
      <c r="J255" s="3">
        <v>16309</v>
      </c>
      <c r="K255" s="2">
        <v>64</v>
      </c>
      <c r="L255" s="2" t="s">
        <v>51</v>
      </c>
      <c r="M255" s="2"/>
      <c r="N255" s="2"/>
      <c r="O255" s="2" t="s">
        <v>28</v>
      </c>
      <c r="Q255" t="b">
        <f t="shared" si="3"/>
        <v>1</v>
      </c>
    </row>
    <row r="256" spans="1:17" x14ac:dyDescent="0.25">
      <c r="A256" s="2" t="s">
        <v>319</v>
      </c>
      <c r="B256" s="2" t="s">
        <v>14</v>
      </c>
      <c r="C256" s="4">
        <v>45507</v>
      </c>
      <c r="D256" s="2" t="s">
        <v>15</v>
      </c>
      <c r="E256" s="2" t="s">
        <v>16</v>
      </c>
      <c r="F256" s="3">
        <v>3791</v>
      </c>
      <c r="G256" s="2">
        <v>593</v>
      </c>
      <c r="H256" s="2">
        <v>228</v>
      </c>
      <c r="I256" s="3">
        <v>53074</v>
      </c>
      <c r="J256" s="3">
        <v>52613</v>
      </c>
      <c r="K256" s="2">
        <v>205</v>
      </c>
      <c r="L256" s="2" t="s">
        <v>33</v>
      </c>
      <c r="M256" s="2"/>
      <c r="N256" s="2"/>
      <c r="Q256" t="b">
        <f t="shared" si="3"/>
        <v>1</v>
      </c>
    </row>
    <row r="257" spans="1:17" x14ac:dyDescent="0.25">
      <c r="A257" s="2" t="s">
        <v>320</v>
      </c>
      <c r="B257" s="2" t="s">
        <v>14</v>
      </c>
      <c r="C257" s="4">
        <v>45671</v>
      </c>
      <c r="D257" s="2" t="s">
        <v>44</v>
      </c>
      <c r="E257" s="2" t="s">
        <v>92</v>
      </c>
      <c r="F257" s="3">
        <v>2692</v>
      </c>
      <c r="G257" s="2">
        <v>115</v>
      </c>
      <c r="H257" s="2">
        <v>64</v>
      </c>
      <c r="I257" s="3">
        <v>21536</v>
      </c>
      <c r="J257" s="3">
        <v>21120</v>
      </c>
      <c r="K257" s="2">
        <v>224</v>
      </c>
      <c r="L257" s="2" t="s">
        <v>51</v>
      </c>
      <c r="M257" s="2"/>
      <c r="N257" s="2"/>
      <c r="O257" s="2" t="s">
        <v>23</v>
      </c>
      <c r="Q257" t="b">
        <f t="shared" si="3"/>
        <v>1</v>
      </c>
    </row>
    <row r="258" spans="1:17" x14ac:dyDescent="0.25">
      <c r="A258" s="2" t="s">
        <v>321</v>
      </c>
      <c r="B258" s="2" t="s">
        <v>38</v>
      </c>
      <c r="C258" s="4">
        <v>45750</v>
      </c>
      <c r="D258" s="2" t="s">
        <v>31</v>
      </c>
      <c r="E258" s="2" t="s">
        <v>57</v>
      </c>
      <c r="F258" s="3">
        <v>3767</v>
      </c>
      <c r="G258" s="2">
        <v>514</v>
      </c>
      <c r="H258" s="2">
        <v>238</v>
      </c>
      <c r="I258" s="3">
        <v>37670</v>
      </c>
      <c r="J258" s="3">
        <v>36807</v>
      </c>
      <c r="K258" s="2">
        <v>226</v>
      </c>
      <c r="L258" s="2" t="s">
        <v>51</v>
      </c>
      <c r="M258" s="2"/>
      <c r="N258" s="2"/>
      <c r="O258" s="2" t="s">
        <v>34</v>
      </c>
      <c r="Q258" t="b">
        <f t="shared" si="3"/>
        <v>1</v>
      </c>
    </row>
    <row r="259" spans="1:17" x14ac:dyDescent="0.25">
      <c r="A259" s="2" t="s">
        <v>322</v>
      </c>
      <c r="B259" s="2" t="s">
        <v>25</v>
      </c>
      <c r="C259" s="4">
        <v>45553</v>
      </c>
      <c r="D259" s="2" t="s">
        <v>39</v>
      </c>
      <c r="E259" s="2" t="s">
        <v>55</v>
      </c>
      <c r="F259" s="3">
        <v>2143</v>
      </c>
      <c r="G259" s="2">
        <v>12</v>
      </c>
      <c r="H259" s="2">
        <v>204</v>
      </c>
      <c r="I259" s="3">
        <v>40717</v>
      </c>
      <c r="J259" s="3">
        <v>40125</v>
      </c>
      <c r="K259" s="2">
        <v>248</v>
      </c>
      <c r="L259" s="2" t="s">
        <v>33</v>
      </c>
      <c r="M259" s="2"/>
      <c r="N259" s="2"/>
      <c r="O259" s="2" t="s">
        <v>23</v>
      </c>
      <c r="Q259" t="b">
        <f t="shared" si="3"/>
        <v>1</v>
      </c>
    </row>
    <row r="260" spans="1:17" x14ac:dyDescent="0.25">
      <c r="A260" s="2" t="s">
        <v>323</v>
      </c>
      <c r="B260" s="2" t="s">
        <v>38</v>
      </c>
      <c r="C260" s="4">
        <v>45753</v>
      </c>
      <c r="D260" s="2" t="s">
        <v>44</v>
      </c>
      <c r="E260" s="2" t="s">
        <v>49</v>
      </c>
      <c r="F260" s="3">
        <v>3090</v>
      </c>
      <c r="G260" s="2">
        <v>697</v>
      </c>
      <c r="H260" s="2">
        <v>164</v>
      </c>
      <c r="I260" s="3">
        <v>49440</v>
      </c>
      <c r="J260" s="3">
        <v>48524</v>
      </c>
      <c r="K260" s="2">
        <v>25</v>
      </c>
      <c r="L260" s="2" t="s">
        <v>33</v>
      </c>
      <c r="M260" s="2" t="s">
        <v>33</v>
      </c>
      <c r="N260" s="2" t="s">
        <v>380</v>
      </c>
      <c r="O260" s="2" t="s">
        <v>23</v>
      </c>
      <c r="Q260" t="b">
        <f t="shared" si="3"/>
        <v>1</v>
      </c>
    </row>
    <row r="261" spans="1:17" x14ac:dyDescent="0.25">
      <c r="A261" s="2" t="s">
        <v>325</v>
      </c>
      <c r="B261" s="2" t="s">
        <v>30</v>
      </c>
      <c r="C261" s="4">
        <v>45509</v>
      </c>
      <c r="D261" s="2" t="s">
        <v>31</v>
      </c>
      <c r="E261" s="2" t="s">
        <v>32</v>
      </c>
      <c r="F261" s="3">
        <v>3601</v>
      </c>
      <c r="G261" s="2">
        <v>695</v>
      </c>
      <c r="H261" s="2">
        <v>75</v>
      </c>
      <c r="I261" s="3">
        <v>21606</v>
      </c>
      <c r="J261" s="3">
        <v>21454</v>
      </c>
      <c r="K261" s="2">
        <v>172</v>
      </c>
      <c r="L261" s="2" t="s">
        <v>33</v>
      </c>
      <c r="M261" s="2"/>
      <c r="N261" s="2"/>
      <c r="O261" s="2" t="s">
        <v>23</v>
      </c>
      <c r="Q261" t="b">
        <f t="shared" ref="Q261:Q303" si="4">EXACT(B261,SUBSTITUTE(PROPER(B261),"Youtube","YouTube"))</f>
        <v>1</v>
      </c>
    </row>
    <row r="262" spans="1:17" x14ac:dyDescent="0.25">
      <c r="A262" s="2" t="s">
        <v>326</v>
      </c>
      <c r="B262" s="2" t="s">
        <v>38</v>
      </c>
      <c r="C262" s="4">
        <v>45698</v>
      </c>
      <c r="D262" s="2" t="s">
        <v>20</v>
      </c>
      <c r="E262" s="2" t="s">
        <v>47</v>
      </c>
      <c r="F262" s="3">
        <v>562</v>
      </c>
      <c r="G262" s="2">
        <v>158</v>
      </c>
      <c r="H262" s="2">
        <v>149</v>
      </c>
      <c r="I262" s="3">
        <v>3372</v>
      </c>
      <c r="J262" s="3">
        <v>2940</v>
      </c>
      <c r="K262" s="2">
        <v>93</v>
      </c>
      <c r="L262" s="2" t="s">
        <v>27</v>
      </c>
      <c r="M262" s="2"/>
      <c r="N262" s="2"/>
      <c r="O262" s="2" t="s">
        <v>18</v>
      </c>
      <c r="Q262" t="b">
        <f t="shared" si="4"/>
        <v>1</v>
      </c>
    </row>
    <row r="263" spans="1:17" x14ac:dyDescent="0.25">
      <c r="A263" s="2" t="s">
        <v>327</v>
      </c>
      <c r="B263" s="2" t="s">
        <v>30</v>
      </c>
      <c r="C263" s="4">
        <v>45700</v>
      </c>
      <c r="D263" s="2" t="s">
        <v>31</v>
      </c>
      <c r="E263" s="2" t="s">
        <v>32</v>
      </c>
      <c r="F263" s="3">
        <v>4332</v>
      </c>
      <c r="G263" s="2">
        <v>771</v>
      </c>
      <c r="H263" s="2">
        <v>219</v>
      </c>
      <c r="I263" s="3">
        <v>60648</v>
      </c>
      <c r="J263" s="3">
        <v>60397</v>
      </c>
      <c r="K263" s="2">
        <v>10</v>
      </c>
      <c r="L263" s="2" t="s">
        <v>27</v>
      </c>
      <c r="M263" s="2" t="s">
        <v>33</v>
      </c>
      <c r="N263" s="2" t="s">
        <v>380</v>
      </c>
      <c r="O263" s="2" t="s">
        <v>28</v>
      </c>
      <c r="Q263" t="b">
        <f t="shared" si="4"/>
        <v>1</v>
      </c>
    </row>
    <row r="264" spans="1:17" x14ac:dyDescent="0.25">
      <c r="A264" s="2" t="s">
        <v>329</v>
      </c>
      <c r="B264" s="2" t="s">
        <v>30</v>
      </c>
      <c r="C264" s="4">
        <v>45592</v>
      </c>
      <c r="D264" s="2" t="s">
        <v>44</v>
      </c>
      <c r="E264" s="2" t="s">
        <v>140</v>
      </c>
      <c r="F264" s="3">
        <v>4853</v>
      </c>
      <c r="G264" s="2">
        <v>837</v>
      </c>
      <c r="H264" s="2">
        <v>340</v>
      </c>
      <c r="I264" s="3">
        <v>72795</v>
      </c>
      <c r="J264" s="3">
        <v>72237</v>
      </c>
      <c r="K264" s="2">
        <v>170</v>
      </c>
      <c r="L264" s="2" t="s">
        <v>33</v>
      </c>
      <c r="M264" s="2"/>
      <c r="N264" s="2"/>
      <c r="O264" s="2" t="s">
        <v>18</v>
      </c>
      <c r="Q264" t="b">
        <f t="shared" si="4"/>
        <v>1</v>
      </c>
    </row>
    <row r="265" spans="1:17" x14ac:dyDescent="0.25">
      <c r="A265" s="2" t="s">
        <v>330</v>
      </c>
      <c r="B265" s="2" t="s">
        <v>25</v>
      </c>
      <c r="C265" s="4">
        <v>45675</v>
      </c>
      <c r="D265" s="2" t="s">
        <v>44</v>
      </c>
      <c r="E265" s="2" t="s">
        <v>45</v>
      </c>
      <c r="F265" s="3">
        <v>1206</v>
      </c>
      <c r="G265" s="2">
        <v>238</v>
      </c>
      <c r="H265" s="2">
        <v>36</v>
      </c>
      <c r="I265" s="3">
        <v>9648</v>
      </c>
      <c r="J265" s="3">
        <v>9417</v>
      </c>
      <c r="K265" s="2">
        <v>237</v>
      </c>
      <c r="L265" s="2" t="s">
        <v>27</v>
      </c>
      <c r="M265" s="2"/>
      <c r="N265" s="2"/>
      <c r="Q265" t="b">
        <f t="shared" si="4"/>
        <v>1</v>
      </c>
    </row>
    <row r="266" spans="1:17" x14ac:dyDescent="0.25">
      <c r="A266" s="2" t="s">
        <v>331</v>
      </c>
      <c r="B266" s="2" t="s">
        <v>30</v>
      </c>
      <c r="C266" s="4">
        <v>45524</v>
      </c>
      <c r="D266" s="2" t="s">
        <v>15</v>
      </c>
      <c r="E266" s="2" t="s">
        <v>64</v>
      </c>
      <c r="F266" s="3">
        <v>2603</v>
      </c>
      <c r="G266" s="2">
        <v>690</v>
      </c>
      <c r="H266" s="2">
        <v>205</v>
      </c>
      <c r="I266" s="3">
        <v>13015</v>
      </c>
      <c r="J266" s="3">
        <v>12130</v>
      </c>
      <c r="K266" s="2">
        <v>20</v>
      </c>
      <c r="L266" s="2" t="s">
        <v>51</v>
      </c>
      <c r="M266" s="2"/>
      <c r="N266" s="2"/>
      <c r="O266" s="2" t="s">
        <v>23</v>
      </c>
      <c r="Q266" t="b">
        <f t="shared" si="4"/>
        <v>1</v>
      </c>
    </row>
    <row r="267" spans="1:17" x14ac:dyDescent="0.25">
      <c r="A267" s="2" t="s">
        <v>332</v>
      </c>
      <c r="B267" s="2" t="s">
        <v>14</v>
      </c>
      <c r="C267" s="4">
        <v>45687</v>
      </c>
      <c r="D267" s="2" t="s">
        <v>44</v>
      </c>
      <c r="E267" s="2" t="s">
        <v>92</v>
      </c>
      <c r="F267" s="3">
        <v>59</v>
      </c>
      <c r="G267" s="2">
        <v>163</v>
      </c>
      <c r="H267" s="2">
        <v>93</v>
      </c>
      <c r="I267" s="3">
        <v>590</v>
      </c>
      <c r="J267" s="3">
        <v>475</v>
      </c>
      <c r="K267" s="2">
        <v>293</v>
      </c>
      <c r="L267" s="2" t="s">
        <v>27</v>
      </c>
      <c r="M267" s="2"/>
      <c r="N267" s="2"/>
      <c r="O267" s="2" t="s">
        <v>23</v>
      </c>
      <c r="Q267" t="b">
        <f t="shared" si="4"/>
        <v>1</v>
      </c>
    </row>
    <row r="268" spans="1:17" x14ac:dyDescent="0.25">
      <c r="A268" s="2" t="s">
        <v>333</v>
      </c>
      <c r="B268" s="2" t="s">
        <v>14</v>
      </c>
      <c r="C268" s="4">
        <v>45708</v>
      </c>
      <c r="D268" s="2" t="s">
        <v>39</v>
      </c>
      <c r="E268" s="2" t="s">
        <v>42</v>
      </c>
      <c r="F268" s="3">
        <v>1877</v>
      </c>
      <c r="G268" s="2">
        <v>745</v>
      </c>
      <c r="H268" s="2">
        <v>225</v>
      </c>
      <c r="I268" s="3">
        <v>11262</v>
      </c>
      <c r="J268" s="3">
        <v>10967</v>
      </c>
      <c r="K268" s="2">
        <v>41</v>
      </c>
      <c r="L268" s="2" t="s">
        <v>33</v>
      </c>
      <c r="M268" s="2"/>
      <c r="N268" s="2"/>
      <c r="O268" s="2" t="s">
        <v>34</v>
      </c>
      <c r="Q268" t="b">
        <f t="shared" si="4"/>
        <v>1</v>
      </c>
    </row>
    <row r="269" spans="1:17" x14ac:dyDescent="0.25">
      <c r="A269" s="2" t="s">
        <v>334</v>
      </c>
      <c r="B269" s="2" t="s">
        <v>38</v>
      </c>
      <c r="C269" s="4">
        <v>45621</v>
      </c>
      <c r="D269" s="2" t="s">
        <v>31</v>
      </c>
      <c r="E269" s="2" t="s">
        <v>57</v>
      </c>
      <c r="F269" s="3">
        <v>4182</v>
      </c>
      <c r="G269" s="2">
        <v>640</v>
      </c>
      <c r="H269" s="2">
        <v>240</v>
      </c>
      <c r="I269" s="3">
        <v>50184</v>
      </c>
      <c r="J269" s="3">
        <v>49351</v>
      </c>
      <c r="K269" s="2">
        <v>10</v>
      </c>
      <c r="L269" s="2" t="s">
        <v>27</v>
      </c>
      <c r="M269" s="2"/>
      <c r="N269" s="2"/>
      <c r="O269" s="2" t="s">
        <v>28</v>
      </c>
      <c r="Q269" t="b">
        <f t="shared" si="4"/>
        <v>1</v>
      </c>
    </row>
    <row r="270" spans="1:17" x14ac:dyDescent="0.25">
      <c r="A270" s="2" t="s">
        <v>335</v>
      </c>
      <c r="B270" s="2" t="s">
        <v>14</v>
      </c>
      <c r="C270" s="4">
        <v>45569</v>
      </c>
      <c r="D270" s="2" t="s">
        <v>15</v>
      </c>
      <c r="E270" s="2" t="s">
        <v>16</v>
      </c>
      <c r="F270" s="3">
        <v>4187</v>
      </c>
      <c r="G270" s="2">
        <v>66</v>
      </c>
      <c r="H270" s="2">
        <v>31</v>
      </c>
      <c r="I270" s="3">
        <v>66992</v>
      </c>
      <c r="J270" s="3">
        <v>66614</v>
      </c>
      <c r="K270" s="2">
        <v>62</v>
      </c>
      <c r="L270" s="2" t="s">
        <v>51</v>
      </c>
      <c r="M270" s="2"/>
      <c r="N270" s="2"/>
      <c r="Q270" t="b">
        <f t="shared" si="4"/>
        <v>1</v>
      </c>
    </row>
    <row r="271" spans="1:17" x14ac:dyDescent="0.25">
      <c r="A271" s="2" t="s">
        <v>336</v>
      </c>
      <c r="B271" s="2" t="s">
        <v>30</v>
      </c>
      <c r="C271" s="4">
        <v>45760</v>
      </c>
      <c r="D271" s="2" t="s">
        <v>15</v>
      </c>
      <c r="E271" s="2" t="s">
        <v>64</v>
      </c>
      <c r="F271" s="3">
        <v>4579</v>
      </c>
      <c r="G271" s="2">
        <v>125</v>
      </c>
      <c r="H271" s="2">
        <v>300</v>
      </c>
      <c r="I271" s="3">
        <v>59527</v>
      </c>
      <c r="J271" s="3">
        <v>59400</v>
      </c>
      <c r="K271" s="2">
        <v>269</v>
      </c>
      <c r="L271" s="2" t="s">
        <v>33</v>
      </c>
      <c r="M271" s="2"/>
      <c r="N271" s="2"/>
      <c r="O271" s="2" t="s">
        <v>18</v>
      </c>
      <c r="Q271" t="b">
        <f t="shared" si="4"/>
        <v>1</v>
      </c>
    </row>
    <row r="272" spans="1:17" x14ac:dyDescent="0.25">
      <c r="A272" s="2" t="s">
        <v>337</v>
      </c>
      <c r="B272" s="2" t="s">
        <v>30</v>
      </c>
      <c r="C272" s="4">
        <v>45601</v>
      </c>
      <c r="D272" s="2" t="s">
        <v>59</v>
      </c>
      <c r="E272" s="2" t="s">
        <v>66</v>
      </c>
      <c r="F272" s="3">
        <v>4561</v>
      </c>
      <c r="G272" s="2">
        <v>51</v>
      </c>
      <c r="H272" s="2">
        <v>441</v>
      </c>
      <c r="I272" s="3">
        <v>22805</v>
      </c>
      <c r="J272" s="3">
        <v>21890</v>
      </c>
      <c r="K272" s="2">
        <v>45</v>
      </c>
      <c r="L272" s="2" t="s">
        <v>27</v>
      </c>
      <c r="M272" s="2"/>
      <c r="N272" s="2"/>
      <c r="O272" s="2" t="s">
        <v>23</v>
      </c>
      <c r="Q272" t="b">
        <f t="shared" si="4"/>
        <v>1</v>
      </c>
    </row>
    <row r="273" spans="1:17" x14ac:dyDescent="0.25">
      <c r="A273" s="2" t="s">
        <v>338</v>
      </c>
      <c r="B273" s="2" t="s">
        <v>25</v>
      </c>
      <c r="C273" s="4">
        <v>45672</v>
      </c>
      <c r="D273" s="2" t="s">
        <v>15</v>
      </c>
      <c r="E273" s="2" t="s">
        <v>26</v>
      </c>
      <c r="F273" s="3">
        <v>3774</v>
      </c>
      <c r="G273" s="2">
        <v>239</v>
      </c>
      <c r="H273" s="2">
        <v>39</v>
      </c>
      <c r="I273" s="3">
        <v>60384</v>
      </c>
      <c r="J273" s="3">
        <v>59490</v>
      </c>
      <c r="K273" s="2">
        <v>241</v>
      </c>
      <c r="L273" s="2" t="s">
        <v>27</v>
      </c>
      <c r="M273" s="2"/>
      <c r="N273" s="2"/>
      <c r="O273" s="2" t="s">
        <v>28</v>
      </c>
      <c r="Q273" t="b">
        <f t="shared" si="4"/>
        <v>1</v>
      </c>
    </row>
    <row r="274" spans="1:17" x14ac:dyDescent="0.25">
      <c r="A274" s="2" t="s">
        <v>339</v>
      </c>
      <c r="B274" s="2" t="s">
        <v>30</v>
      </c>
      <c r="C274" s="4">
        <v>45582</v>
      </c>
      <c r="D274" s="2" t="s">
        <v>59</v>
      </c>
      <c r="E274" s="2" t="s">
        <v>66</v>
      </c>
      <c r="F274" s="3">
        <v>3575</v>
      </c>
      <c r="G274" s="2">
        <v>749</v>
      </c>
      <c r="H274" s="2">
        <v>111</v>
      </c>
      <c r="I274" s="3">
        <v>21450</v>
      </c>
      <c r="J274" s="3">
        <v>20785</v>
      </c>
      <c r="K274" s="2">
        <v>195</v>
      </c>
      <c r="L274" s="2" t="s">
        <v>33</v>
      </c>
      <c r="M274" s="2"/>
      <c r="N274" s="2"/>
      <c r="O274" s="2" t="s">
        <v>23</v>
      </c>
      <c r="Q274" t="b">
        <f t="shared" si="4"/>
        <v>1</v>
      </c>
    </row>
    <row r="275" spans="1:17" x14ac:dyDescent="0.25">
      <c r="A275" s="2" t="s">
        <v>340</v>
      </c>
      <c r="B275" s="2" t="s">
        <v>30</v>
      </c>
      <c r="C275" s="4">
        <v>45743</v>
      </c>
      <c r="D275" s="2" t="s">
        <v>20</v>
      </c>
      <c r="E275" s="2" t="s">
        <v>82</v>
      </c>
      <c r="F275" s="3">
        <v>4941</v>
      </c>
      <c r="G275" s="2">
        <v>414</v>
      </c>
      <c r="H275" s="2">
        <v>266</v>
      </c>
      <c r="I275" s="3">
        <v>39528</v>
      </c>
      <c r="J275" s="3">
        <v>39154</v>
      </c>
      <c r="K275" s="2">
        <v>217</v>
      </c>
      <c r="L275" s="2" t="s">
        <v>27</v>
      </c>
      <c r="M275" s="2"/>
      <c r="N275" s="2"/>
      <c r="O275" s="2" t="s">
        <v>28</v>
      </c>
      <c r="Q275" t="b">
        <f t="shared" si="4"/>
        <v>1</v>
      </c>
    </row>
    <row r="276" spans="1:17" x14ac:dyDescent="0.25">
      <c r="A276" s="2" t="s">
        <v>341</v>
      </c>
      <c r="B276" s="2" t="s">
        <v>25</v>
      </c>
      <c r="C276" s="4">
        <v>45577</v>
      </c>
      <c r="D276" s="2" t="s">
        <v>31</v>
      </c>
      <c r="E276" s="2" t="s">
        <v>105</v>
      </c>
      <c r="F276" s="3">
        <v>3641</v>
      </c>
      <c r="G276" s="2">
        <v>226</v>
      </c>
      <c r="H276" s="2">
        <v>46</v>
      </c>
      <c r="I276" s="3">
        <v>40051</v>
      </c>
      <c r="J276" s="3">
        <v>39319</v>
      </c>
      <c r="K276" s="2">
        <v>296</v>
      </c>
      <c r="L276" s="2" t="s">
        <v>33</v>
      </c>
      <c r="M276" s="2"/>
      <c r="N276" s="2"/>
      <c r="O276" s="2" t="s">
        <v>34</v>
      </c>
      <c r="Q276" t="b">
        <f t="shared" si="4"/>
        <v>1</v>
      </c>
    </row>
    <row r="277" spans="1:17" x14ac:dyDescent="0.25">
      <c r="A277" s="2" t="s">
        <v>342</v>
      </c>
      <c r="B277" s="2" t="s">
        <v>14</v>
      </c>
      <c r="C277" s="4">
        <v>45658</v>
      </c>
      <c r="D277" s="2" t="s">
        <v>39</v>
      </c>
      <c r="E277" s="2" t="s">
        <v>42</v>
      </c>
      <c r="F277" s="3">
        <v>3535</v>
      </c>
      <c r="G277" s="2">
        <v>494</v>
      </c>
      <c r="H277" s="2">
        <v>152</v>
      </c>
      <c r="I277" s="3">
        <v>53025</v>
      </c>
      <c r="J277" s="3">
        <v>52791</v>
      </c>
      <c r="K277" s="2">
        <v>44</v>
      </c>
      <c r="L277" s="2" t="s">
        <v>27</v>
      </c>
      <c r="M277" s="2"/>
      <c r="N277" s="2"/>
      <c r="O277" s="2" t="s">
        <v>34</v>
      </c>
      <c r="Q277" t="b">
        <f t="shared" si="4"/>
        <v>1</v>
      </c>
    </row>
    <row r="278" spans="1:17" x14ac:dyDescent="0.25">
      <c r="A278" s="2" t="s">
        <v>343</v>
      </c>
      <c r="B278" s="2" t="s">
        <v>38</v>
      </c>
      <c r="C278" s="4">
        <v>45509</v>
      </c>
      <c r="D278" s="2" t="s">
        <v>15</v>
      </c>
      <c r="E278" s="2" t="s">
        <v>53</v>
      </c>
      <c r="F278" s="3">
        <v>1741</v>
      </c>
      <c r="G278" s="2">
        <v>831</v>
      </c>
      <c r="H278" s="2">
        <v>345</v>
      </c>
      <c r="I278" s="3">
        <v>17410</v>
      </c>
      <c r="J278" s="3">
        <v>16844</v>
      </c>
      <c r="K278" s="2">
        <v>58</v>
      </c>
      <c r="L278" s="2" t="s">
        <v>33</v>
      </c>
      <c r="M278" s="2"/>
      <c r="N278" s="2"/>
      <c r="O278" s="2" t="s">
        <v>28</v>
      </c>
      <c r="Q278" t="b">
        <f t="shared" si="4"/>
        <v>1</v>
      </c>
    </row>
    <row r="279" spans="1:17" x14ac:dyDescent="0.25">
      <c r="A279" s="2" t="s">
        <v>344</v>
      </c>
      <c r="B279" s="2" t="s">
        <v>14</v>
      </c>
      <c r="C279" s="4">
        <v>45450</v>
      </c>
      <c r="D279" s="2" t="s">
        <v>39</v>
      </c>
      <c r="E279" s="2" t="s">
        <v>42</v>
      </c>
      <c r="F279" s="3">
        <v>1556</v>
      </c>
      <c r="G279" s="2">
        <v>195</v>
      </c>
      <c r="H279" s="2">
        <v>131</v>
      </c>
      <c r="I279" s="3">
        <v>9336</v>
      </c>
      <c r="J279" s="3">
        <v>8875</v>
      </c>
      <c r="K279" s="2">
        <v>137</v>
      </c>
      <c r="L279" s="2" t="s">
        <v>27</v>
      </c>
      <c r="M279" s="2"/>
      <c r="N279" s="2"/>
      <c r="O279" s="2" t="s">
        <v>23</v>
      </c>
      <c r="Q279" t="b">
        <f t="shared" si="4"/>
        <v>1</v>
      </c>
    </row>
    <row r="280" spans="1:17" x14ac:dyDescent="0.25">
      <c r="A280" s="2" t="s">
        <v>345</v>
      </c>
      <c r="B280" s="2" t="s">
        <v>38</v>
      </c>
      <c r="C280" s="4">
        <v>45753</v>
      </c>
      <c r="D280" s="2" t="s">
        <v>44</v>
      </c>
      <c r="E280" s="2" t="s">
        <v>49</v>
      </c>
      <c r="F280" s="3">
        <v>4236</v>
      </c>
      <c r="G280" s="2">
        <v>711</v>
      </c>
      <c r="H280" s="2">
        <v>298</v>
      </c>
      <c r="I280" s="3">
        <v>21180</v>
      </c>
      <c r="J280" s="3">
        <v>20516</v>
      </c>
      <c r="K280" s="2">
        <v>238</v>
      </c>
      <c r="L280" s="2" t="s">
        <v>51</v>
      </c>
      <c r="M280" s="2"/>
      <c r="N280" s="2"/>
      <c r="O280" s="2" t="s">
        <v>18</v>
      </c>
      <c r="Q280" t="b">
        <f t="shared" si="4"/>
        <v>1</v>
      </c>
    </row>
    <row r="281" spans="1:17" x14ac:dyDescent="0.25">
      <c r="A281" s="2" t="s">
        <v>346</v>
      </c>
      <c r="B281" s="2" t="s">
        <v>14</v>
      </c>
      <c r="C281" s="4">
        <v>45622</v>
      </c>
      <c r="D281" s="2" t="s">
        <v>20</v>
      </c>
      <c r="E281" s="2" t="s">
        <v>21</v>
      </c>
      <c r="F281" s="3">
        <v>4516</v>
      </c>
      <c r="G281" s="2">
        <v>836</v>
      </c>
      <c r="H281" s="2">
        <v>169</v>
      </c>
      <c r="I281" s="3">
        <v>49676</v>
      </c>
      <c r="J281" s="3">
        <v>49257</v>
      </c>
      <c r="K281" s="2">
        <v>282</v>
      </c>
      <c r="L281" s="2" t="s">
        <v>33</v>
      </c>
      <c r="M281" s="2"/>
      <c r="N281" s="2"/>
      <c r="O281" s="2" t="s">
        <v>34</v>
      </c>
      <c r="Q281" t="b">
        <f t="shared" si="4"/>
        <v>1</v>
      </c>
    </row>
    <row r="282" spans="1:17" x14ac:dyDescent="0.25">
      <c r="A282" s="2" t="s">
        <v>347</v>
      </c>
      <c r="B282" s="2" t="s">
        <v>25</v>
      </c>
      <c r="C282" s="4">
        <v>45537</v>
      </c>
      <c r="D282" s="2" t="s">
        <v>44</v>
      </c>
      <c r="E282" s="2" t="s">
        <v>45</v>
      </c>
      <c r="F282" s="3">
        <v>4905</v>
      </c>
      <c r="G282" s="2">
        <v>845</v>
      </c>
      <c r="H282" s="2">
        <v>129</v>
      </c>
      <c r="I282" s="3">
        <v>98100</v>
      </c>
      <c r="J282" s="3">
        <v>97772</v>
      </c>
      <c r="K282" s="2">
        <v>279</v>
      </c>
      <c r="L282" s="2" t="s">
        <v>27</v>
      </c>
      <c r="M282" s="2"/>
      <c r="N282" s="2"/>
      <c r="O282" s="2" t="s">
        <v>23</v>
      </c>
      <c r="Q282" t="b">
        <f t="shared" si="4"/>
        <v>1</v>
      </c>
    </row>
    <row r="283" spans="1:17" x14ac:dyDescent="0.25">
      <c r="A283" s="2" t="s">
        <v>348</v>
      </c>
      <c r="B283" s="2" t="s">
        <v>25</v>
      </c>
      <c r="C283" s="4">
        <v>45586</v>
      </c>
      <c r="D283" s="2" t="s">
        <v>59</v>
      </c>
      <c r="E283" s="2" t="s">
        <v>143</v>
      </c>
      <c r="F283" s="3">
        <v>4275</v>
      </c>
      <c r="G283" s="2">
        <v>680</v>
      </c>
      <c r="H283" s="2">
        <v>385</v>
      </c>
      <c r="I283" s="3">
        <v>64125</v>
      </c>
      <c r="J283" s="3">
        <v>63650</v>
      </c>
      <c r="K283" s="2">
        <v>104</v>
      </c>
      <c r="L283" s="2" t="s">
        <v>33</v>
      </c>
      <c r="M283" s="2" t="s">
        <v>27</v>
      </c>
      <c r="N283" s="2" t="s">
        <v>379</v>
      </c>
      <c r="O283" s="2" t="s">
        <v>34</v>
      </c>
      <c r="Q283" t="b">
        <f t="shared" si="4"/>
        <v>1</v>
      </c>
    </row>
    <row r="284" spans="1:17" x14ac:dyDescent="0.25">
      <c r="A284" s="2" t="s">
        <v>349</v>
      </c>
      <c r="B284" s="2" t="s">
        <v>25</v>
      </c>
      <c r="C284" s="4">
        <v>45738</v>
      </c>
      <c r="D284" s="2" t="s">
        <v>44</v>
      </c>
      <c r="E284" s="2" t="s">
        <v>45</v>
      </c>
      <c r="F284" s="3">
        <v>3166</v>
      </c>
      <c r="G284" s="2">
        <v>90</v>
      </c>
      <c r="H284" s="2">
        <v>341</v>
      </c>
      <c r="I284" s="3">
        <v>56988</v>
      </c>
      <c r="J284" s="3">
        <v>56125</v>
      </c>
      <c r="K284" s="2">
        <v>135</v>
      </c>
      <c r="L284" s="2" t="s">
        <v>33</v>
      </c>
      <c r="M284" s="2"/>
      <c r="N284" s="2"/>
      <c r="O284" s="2" t="s">
        <v>23</v>
      </c>
      <c r="Q284" t="b">
        <f t="shared" si="4"/>
        <v>1</v>
      </c>
    </row>
    <row r="285" spans="1:17" x14ac:dyDescent="0.25">
      <c r="A285" s="2" t="s">
        <v>350</v>
      </c>
      <c r="B285" s="2" t="s">
        <v>30</v>
      </c>
      <c r="C285" s="4">
        <v>45568</v>
      </c>
      <c r="D285" s="2" t="s">
        <v>59</v>
      </c>
      <c r="E285" s="2" t="s">
        <v>66</v>
      </c>
      <c r="F285" s="3">
        <v>1488</v>
      </c>
      <c r="G285" s="2">
        <v>417</v>
      </c>
      <c r="H285" s="2">
        <v>168</v>
      </c>
      <c r="I285" s="3">
        <v>19344</v>
      </c>
      <c r="J285" s="3">
        <v>18395</v>
      </c>
      <c r="K285" s="2">
        <v>30</v>
      </c>
      <c r="L285" s="2" t="s">
        <v>51</v>
      </c>
      <c r="M285" s="2"/>
      <c r="N285" s="2"/>
      <c r="O285" s="2" t="s">
        <v>28</v>
      </c>
      <c r="Q285" t="b">
        <f t="shared" si="4"/>
        <v>1</v>
      </c>
    </row>
    <row r="286" spans="1:17" x14ac:dyDescent="0.25">
      <c r="A286" s="2" t="s">
        <v>351</v>
      </c>
      <c r="B286" s="2" t="s">
        <v>14</v>
      </c>
      <c r="C286" s="4">
        <v>45786</v>
      </c>
      <c r="D286" s="2" t="s">
        <v>15</v>
      </c>
      <c r="E286" s="2" t="s">
        <v>16</v>
      </c>
      <c r="F286" s="3">
        <v>3367</v>
      </c>
      <c r="G286" s="2">
        <v>302</v>
      </c>
      <c r="H286" s="2">
        <v>57</v>
      </c>
      <c r="I286" s="3">
        <v>63973</v>
      </c>
      <c r="J286" s="3">
        <v>63789</v>
      </c>
      <c r="K286" s="2">
        <v>157</v>
      </c>
      <c r="L286" s="2" t="s">
        <v>51</v>
      </c>
      <c r="M286" s="2"/>
      <c r="N286" s="2"/>
      <c r="O286" s="2" t="s">
        <v>23</v>
      </c>
      <c r="Q286" t="b">
        <f t="shared" si="4"/>
        <v>1</v>
      </c>
    </row>
    <row r="287" spans="1:17" x14ac:dyDescent="0.25">
      <c r="A287" s="2" t="s">
        <v>352</v>
      </c>
      <c r="B287" s="2" t="s">
        <v>14</v>
      </c>
      <c r="C287" s="4">
        <v>45552</v>
      </c>
      <c r="D287" s="2" t="s">
        <v>20</v>
      </c>
      <c r="E287" s="2" t="s">
        <v>21</v>
      </c>
      <c r="F287" s="3">
        <v>571</v>
      </c>
      <c r="G287" s="2">
        <v>190</v>
      </c>
      <c r="H287" s="2">
        <v>352</v>
      </c>
      <c r="I287" s="3">
        <v>9707</v>
      </c>
      <c r="J287" s="3">
        <v>9418</v>
      </c>
      <c r="K287" s="2">
        <v>231</v>
      </c>
      <c r="L287" s="2" t="s">
        <v>27</v>
      </c>
      <c r="M287" s="2"/>
      <c r="N287" s="2"/>
      <c r="O287" s="2" t="s">
        <v>34</v>
      </c>
      <c r="Q287" t="b">
        <f t="shared" si="4"/>
        <v>1</v>
      </c>
    </row>
    <row r="288" spans="1:17" x14ac:dyDescent="0.25">
      <c r="A288" s="2" t="s">
        <v>353</v>
      </c>
      <c r="B288" s="2" t="s">
        <v>25</v>
      </c>
      <c r="C288" s="4">
        <v>45491</v>
      </c>
      <c r="D288" s="2" t="s">
        <v>20</v>
      </c>
      <c r="E288" s="2" t="s">
        <v>77</v>
      </c>
      <c r="F288" s="3">
        <v>4021</v>
      </c>
      <c r="G288" s="2">
        <v>794</v>
      </c>
      <c r="H288" s="2">
        <v>77</v>
      </c>
      <c r="I288" s="3">
        <v>36189</v>
      </c>
      <c r="J288" s="3">
        <v>35505</v>
      </c>
      <c r="K288" s="2">
        <v>174</v>
      </c>
      <c r="L288" s="2" t="s">
        <v>33</v>
      </c>
      <c r="M288" s="2"/>
      <c r="N288" s="2"/>
      <c r="Q288" t="b">
        <f t="shared" si="4"/>
        <v>1</v>
      </c>
    </row>
    <row r="289" spans="1:17" x14ac:dyDescent="0.25">
      <c r="A289" s="2" t="s">
        <v>354</v>
      </c>
      <c r="B289" s="2" t="s">
        <v>25</v>
      </c>
      <c r="C289" s="4">
        <v>45560</v>
      </c>
      <c r="D289" s="2" t="s">
        <v>59</v>
      </c>
      <c r="E289" s="2" t="s">
        <v>143</v>
      </c>
      <c r="F289" s="3">
        <v>3389</v>
      </c>
      <c r="G289" s="2">
        <v>344</v>
      </c>
      <c r="H289" s="2">
        <v>229</v>
      </c>
      <c r="I289" s="3">
        <v>20334</v>
      </c>
      <c r="J289" s="3">
        <v>19443</v>
      </c>
      <c r="K289" s="2">
        <v>228</v>
      </c>
      <c r="L289" s="2" t="s">
        <v>51</v>
      </c>
      <c r="M289" s="2"/>
      <c r="N289" s="2"/>
      <c r="O289" s="2" t="s">
        <v>28</v>
      </c>
      <c r="Q289" t="b">
        <f t="shared" si="4"/>
        <v>1</v>
      </c>
    </row>
    <row r="290" spans="1:17" x14ac:dyDescent="0.25">
      <c r="A290" s="2" t="s">
        <v>355</v>
      </c>
      <c r="B290" s="2" t="s">
        <v>30</v>
      </c>
      <c r="C290" s="4">
        <v>45519</v>
      </c>
      <c r="D290" s="2" t="s">
        <v>15</v>
      </c>
      <c r="E290" s="2" t="s">
        <v>64</v>
      </c>
      <c r="F290" s="3">
        <v>1164</v>
      </c>
      <c r="G290" s="2">
        <v>616</v>
      </c>
      <c r="H290" s="2">
        <v>324</v>
      </c>
      <c r="I290" s="3">
        <v>6984</v>
      </c>
      <c r="J290" s="3">
        <v>6636</v>
      </c>
      <c r="K290" s="2">
        <v>82</v>
      </c>
      <c r="L290" s="2" t="s">
        <v>33</v>
      </c>
      <c r="M290" s="2"/>
      <c r="N290" s="2"/>
      <c r="O290" s="2" t="s">
        <v>18</v>
      </c>
      <c r="Q290" t="b">
        <f t="shared" si="4"/>
        <v>1</v>
      </c>
    </row>
    <row r="291" spans="1:17" x14ac:dyDescent="0.25">
      <c r="A291" s="2" t="s">
        <v>356</v>
      </c>
      <c r="B291" s="2" t="s">
        <v>25</v>
      </c>
      <c r="C291" s="4">
        <v>45764</v>
      </c>
      <c r="D291" s="2" t="s">
        <v>39</v>
      </c>
      <c r="E291" s="2" t="s">
        <v>55</v>
      </c>
      <c r="F291" s="3">
        <v>4780</v>
      </c>
      <c r="G291" s="2">
        <v>691</v>
      </c>
      <c r="H291" s="2">
        <v>380</v>
      </c>
      <c r="I291" s="3">
        <v>86040</v>
      </c>
      <c r="J291" s="3">
        <v>85743</v>
      </c>
      <c r="K291" s="2">
        <v>262</v>
      </c>
      <c r="L291" s="2" t="s">
        <v>51</v>
      </c>
      <c r="M291" s="2"/>
      <c r="N291" s="2"/>
      <c r="O291" s="2" t="s">
        <v>28</v>
      </c>
      <c r="Q291" t="b">
        <f t="shared" si="4"/>
        <v>1</v>
      </c>
    </row>
    <row r="292" spans="1:17" x14ac:dyDescent="0.25">
      <c r="A292" s="2" t="s">
        <v>357</v>
      </c>
      <c r="B292" s="2" t="s">
        <v>38</v>
      </c>
      <c r="C292" s="4">
        <v>45624</v>
      </c>
      <c r="D292" s="2" t="s">
        <v>39</v>
      </c>
      <c r="E292" s="2" t="s">
        <v>40</v>
      </c>
      <c r="F292" s="3">
        <v>2751</v>
      </c>
      <c r="G292" s="2">
        <v>33</v>
      </c>
      <c r="H292" s="2">
        <v>430</v>
      </c>
      <c r="I292" s="3">
        <v>44016</v>
      </c>
      <c r="J292" s="3">
        <v>43415</v>
      </c>
      <c r="K292" s="2">
        <v>129</v>
      </c>
      <c r="L292" s="2" t="s">
        <v>51</v>
      </c>
      <c r="M292" s="2"/>
      <c r="N292" s="2"/>
      <c r="Q292" t="b">
        <f t="shared" si="4"/>
        <v>1</v>
      </c>
    </row>
    <row r="293" spans="1:17" x14ac:dyDescent="0.25">
      <c r="A293" s="2" t="s">
        <v>358</v>
      </c>
      <c r="B293" s="2" t="s">
        <v>30</v>
      </c>
      <c r="C293" s="4">
        <v>45646</v>
      </c>
      <c r="D293" s="2" t="s">
        <v>39</v>
      </c>
      <c r="E293" s="2" t="s">
        <v>68</v>
      </c>
      <c r="F293" s="3">
        <v>2107</v>
      </c>
      <c r="G293" s="2">
        <v>550</v>
      </c>
      <c r="H293" s="2">
        <v>349</v>
      </c>
      <c r="I293" s="3">
        <v>35819</v>
      </c>
      <c r="J293" s="3">
        <v>35340</v>
      </c>
      <c r="K293" s="2">
        <v>191</v>
      </c>
      <c r="L293" s="2" t="s">
        <v>33</v>
      </c>
      <c r="M293" s="2"/>
      <c r="N293" s="2"/>
      <c r="O293" s="2" t="s">
        <v>34</v>
      </c>
      <c r="Q293" t="b">
        <f t="shared" si="4"/>
        <v>1</v>
      </c>
    </row>
    <row r="294" spans="1:17" x14ac:dyDescent="0.25">
      <c r="A294" s="2" t="s">
        <v>359</v>
      </c>
      <c r="B294" s="2" t="s">
        <v>38</v>
      </c>
      <c r="C294" s="4">
        <v>45602</v>
      </c>
      <c r="D294" s="2" t="s">
        <v>59</v>
      </c>
      <c r="E294" s="2" t="s">
        <v>60</v>
      </c>
      <c r="F294" s="3">
        <v>4663</v>
      </c>
      <c r="G294" s="2">
        <v>145</v>
      </c>
      <c r="H294" s="2">
        <v>225</v>
      </c>
      <c r="I294" s="3">
        <v>69945</v>
      </c>
      <c r="J294" s="3">
        <v>69596</v>
      </c>
      <c r="K294" s="2">
        <v>35</v>
      </c>
      <c r="L294" s="2" t="s">
        <v>33</v>
      </c>
      <c r="M294" s="2"/>
      <c r="N294" s="2"/>
      <c r="O294" s="2" t="s">
        <v>34</v>
      </c>
      <c r="Q294" t="b">
        <f t="shared" si="4"/>
        <v>1</v>
      </c>
    </row>
    <row r="295" spans="1:17" x14ac:dyDescent="0.25">
      <c r="A295" s="2" t="s">
        <v>360</v>
      </c>
      <c r="B295" s="2" t="s">
        <v>38</v>
      </c>
      <c r="C295" s="4">
        <v>45613</v>
      </c>
      <c r="D295" s="2" t="s">
        <v>20</v>
      </c>
      <c r="E295" s="2" t="s">
        <v>47</v>
      </c>
      <c r="F295" s="3">
        <v>880</v>
      </c>
      <c r="G295" s="2">
        <v>297</v>
      </c>
      <c r="H295" s="2">
        <v>345</v>
      </c>
      <c r="I295" s="3">
        <v>12320</v>
      </c>
      <c r="J295" s="3">
        <v>11978</v>
      </c>
      <c r="K295" s="2">
        <v>238</v>
      </c>
      <c r="L295" s="2" t="s">
        <v>27</v>
      </c>
      <c r="M295" s="2" t="s">
        <v>379</v>
      </c>
      <c r="N295" s="2"/>
      <c r="Q295" t="b">
        <f t="shared" si="4"/>
        <v>1</v>
      </c>
    </row>
    <row r="296" spans="1:17" x14ac:dyDescent="0.25">
      <c r="A296" s="2" t="s">
        <v>361</v>
      </c>
      <c r="B296" s="2" t="s">
        <v>38</v>
      </c>
      <c r="C296" s="4">
        <v>45791</v>
      </c>
      <c r="D296" s="2" t="s">
        <v>20</v>
      </c>
      <c r="E296" s="2" t="s">
        <v>47</v>
      </c>
      <c r="F296" s="3">
        <v>2634</v>
      </c>
      <c r="G296" s="2">
        <v>726</v>
      </c>
      <c r="H296" s="2">
        <v>241</v>
      </c>
      <c r="I296" s="3">
        <v>28974</v>
      </c>
      <c r="J296" s="3">
        <v>28102</v>
      </c>
      <c r="K296" s="2">
        <v>277</v>
      </c>
      <c r="L296" s="2" t="s">
        <v>33</v>
      </c>
      <c r="M296" s="2"/>
      <c r="N296" s="2"/>
      <c r="O296" s="2" t="s">
        <v>18</v>
      </c>
      <c r="Q296" t="b">
        <f t="shared" si="4"/>
        <v>1</v>
      </c>
    </row>
    <row r="297" spans="1:17" x14ac:dyDescent="0.25">
      <c r="A297" s="2" t="s">
        <v>362</v>
      </c>
      <c r="B297" s="2" t="s">
        <v>38</v>
      </c>
      <c r="C297" s="4">
        <v>45462</v>
      </c>
      <c r="D297" s="2" t="s">
        <v>39</v>
      </c>
      <c r="E297" s="2" t="s">
        <v>40</v>
      </c>
      <c r="F297" s="3">
        <v>4731</v>
      </c>
      <c r="G297" s="2">
        <v>173</v>
      </c>
      <c r="H297" s="2">
        <v>276</v>
      </c>
      <c r="I297" s="3">
        <v>28386</v>
      </c>
      <c r="J297" s="3">
        <v>28185</v>
      </c>
      <c r="K297" s="2">
        <v>89</v>
      </c>
      <c r="L297" s="2" t="s">
        <v>33</v>
      </c>
      <c r="M297" s="2"/>
      <c r="N297" s="2"/>
      <c r="O297" s="2" t="s">
        <v>28</v>
      </c>
      <c r="Q297" t="b">
        <f t="shared" si="4"/>
        <v>1</v>
      </c>
    </row>
    <row r="298" spans="1:17" x14ac:dyDescent="0.25">
      <c r="A298" s="2" t="s">
        <v>363</v>
      </c>
      <c r="B298" s="2" t="s">
        <v>14</v>
      </c>
      <c r="C298" s="4">
        <v>45783</v>
      </c>
      <c r="D298" s="2" t="s">
        <v>44</v>
      </c>
      <c r="E298" s="2" t="s">
        <v>92</v>
      </c>
      <c r="F298" s="3">
        <v>1952</v>
      </c>
      <c r="G298" s="2">
        <v>344</v>
      </c>
      <c r="H298" s="2">
        <v>287</v>
      </c>
      <c r="I298" s="3">
        <v>15616</v>
      </c>
      <c r="J298" s="3">
        <v>15403</v>
      </c>
      <c r="K298" s="2">
        <v>235</v>
      </c>
      <c r="L298" s="2" t="s">
        <v>51</v>
      </c>
      <c r="M298" s="2" t="s">
        <v>27</v>
      </c>
      <c r="N298" s="2" t="s">
        <v>379</v>
      </c>
      <c r="O298" s="2" t="s">
        <v>23</v>
      </c>
      <c r="Q298" t="b">
        <f t="shared" si="4"/>
        <v>1</v>
      </c>
    </row>
    <row r="299" spans="1:17" x14ac:dyDescent="0.25">
      <c r="A299" s="2" t="s">
        <v>364</v>
      </c>
      <c r="B299" s="2" t="s">
        <v>14</v>
      </c>
      <c r="C299" s="4">
        <v>45699</v>
      </c>
      <c r="D299" s="2" t="s">
        <v>59</v>
      </c>
      <c r="E299" s="2" t="s">
        <v>99</v>
      </c>
      <c r="F299" s="3">
        <v>3440</v>
      </c>
      <c r="G299" s="2">
        <v>13</v>
      </c>
      <c r="H299" s="2">
        <v>20</v>
      </c>
      <c r="I299" s="3">
        <v>58480</v>
      </c>
      <c r="J299" s="3">
        <v>58146</v>
      </c>
      <c r="K299" s="2">
        <v>210</v>
      </c>
      <c r="L299" s="2" t="s">
        <v>27</v>
      </c>
      <c r="M299" s="2" t="s">
        <v>381</v>
      </c>
      <c r="N299" s="2"/>
      <c r="O299" s="2" t="s">
        <v>34</v>
      </c>
      <c r="Q299" t="b">
        <f t="shared" si="4"/>
        <v>1</v>
      </c>
    </row>
    <row r="300" spans="1:17" x14ac:dyDescent="0.25">
      <c r="A300" s="2" t="s">
        <v>365</v>
      </c>
      <c r="B300" s="2" t="s">
        <v>14</v>
      </c>
      <c r="C300" s="4">
        <v>45650</v>
      </c>
      <c r="D300" s="2" t="s">
        <v>20</v>
      </c>
      <c r="E300" s="2" t="s">
        <v>21</v>
      </c>
      <c r="F300" s="3">
        <v>2166</v>
      </c>
      <c r="G300" s="2">
        <v>354</v>
      </c>
      <c r="H300" s="2">
        <v>117</v>
      </c>
      <c r="I300" s="3">
        <v>10830</v>
      </c>
      <c r="J300" s="3">
        <v>10245</v>
      </c>
      <c r="K300" s="2">
        <v>24</v>
      </c>
      <c r="L300" s="2" t="s">
        <v>33</v>
      </c>
      <c r="M300" s="2"/>
      <c r="N300" s="2"/>
      <c r="O300" s="2" t="s">
        <v>34</v>
      </c>
      <c r="Q300" t="b">
        <f t="shared" si="4"/>
        <v>1</v>
      </c>
    </row>
    <row r="301" spans="1:17" x14ac:dyDescent="0.25">
      <c r="A301" s="2" t="s">
        <v>366</v>
      </c>
      <c r="B301" s="2" t="s">
        <v>38</v>
      </c>
      <c r="C301" s="4">
        <v>45589</v>
      </c>
      <c r="D301" s="2" t="s">
        <v>44</v>
      </c>
      <c r="E301" s="2" t="s">
        <v>49</v>
      </c>
      <c r="F301" s="3">
        <v>4303</v>
      </c>
      <c r="G301" s="2">
        <v>451</v>
      </c>
      <c r="H301" s="2">
        <v>286</v>
      </c>
      <c r="I301" s="3">
        <v>86060</v>
      </c>
      <c r="J301" s="3">
        <v>85823</v>
      </c>
      <c r="K301" s="2">
        <v>14</v>
      </c>
      <c r="L301" s="2" t="s">
        <v>27</v>
      </c>
      <c r="M301" s="2"/>
      <c r="N301" s="2"/>
      <c r="O301" s="2" t="s">
        <v>28</v>
      </c>
      <c r="Q301" t="b">
        <f t="shared" si="4"/>
        <v>1</v>
      </c>
    </row>
    <row r="302" spans="1:17" x14ac:dyDescent="0.25">
      <c r="A302" s="2" t="s">
        <v>367</v>
      </c>
      <c r="B302" s="2" t="s">
        <v>38</v>
      </c>
      <c r="C302" s="4">
        <v>45530</v>
      </c>
      <c r="D302" s="2" t="s">
        <v>44</v>
      </c>
      <c r="E302" s="2" t="s">
        <v>49</v>
      </c>
      <c r="F302" s="3">
        <v>2581</v>
      </c>
      <c r="G302" s="2">
        <v>517</v>
      </c>
      <c r="H302" s="2">
        <v>117</v>
      </c>
      <c r="I302" s="3">
        <v>23229</v>
      </c>
      <c r="J302" s="3">
        <v>22331</v>
      </c>
      <c r="K302" s="2">
        <v>70</v>
      </c>
      <c r="L302" s="2" t="s">
        <v>51</v>
      </c>
      <c r="M302" s="2"/>
      <c r="N302" s="2"/>
      <c r="O302" s="2" t="s">
        <v>28</v>
      </c>
      <c r="Q302" t="b">
        <f t="shared" si="4"/>
        <v>1</v>
      </c>
    </row>
    <row r="303" spans="1:17" x14ac:dyDescent="0.25">
      <c r="A303" s="2" t="s">
        <v>368</v>
      </c>
      <c r="B303" s="2" t="s">
        <v>14</v>
      </c>
      <c r="C303" s="4">
        <v>45535</v>
      </c>
      <c r="D303" s="2" t="s">
        <v>39</v>
      </c>
      <c r="E303" s="2" t="s">
        <v>42</v>
      </c>
      <c r="F303" s="3">
        <v>4494</v>
      </c>
      <c r="G303" s="2">
        <v>717</v>
      </c>
      <c r="H303" s="2">
        <v>45</v>
      </c>
      <c r="I303" s="3">
        <v>62916</v>
      </c>
      <c r="J303" s="3">
        <v>62688</v>
      </c>
      <c r="K303" s="2">
        <v>191</v>
      </c>
      <c r="L303" s="2" t="s">
        <v>27</v>
      </c>
      <c r="M303" s="2" t="s">
        <v>33</v>
      </c>
      <c r="N303" s="2" t="s">
        <v>380</v>
      </c>
      <c r="O303" s="2" t="s">
        <v>18</v>
      </c>
      <c r="Q303" t="b">
        <f t="shared" si="4"/>
        <v>1</v>
      </c>
    </row>
  </sheetData>
  <mergeCells count="3">
    <mergeCell ref="P3:S3"/>
    <mergeCell ref="A2:G2"/>
    <mergeCell ref="L3:N3"/>
  </mergeCells>
  <phoneticPr fontId="6" type="noConversion"/>
  <conditionalFormatting sqref="A4:A303">
    <cfRule type="duplicateValues" dxfId="2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0C7E-F191-42DE-93DD-74CE1D881059}">
  <dimension ref="A1:G203"/>
  <sheetViews>
    <sheetView workbookViewId="0">
      <selection activeCell="G5" sqref="G5"/>
    </sheetView>
  </sheetViews>
  <sheetFormatPr defaultRowHeight="15" x14ac:dyDescent="0.25"/>
  <cols>
    <col min="1" max="1" width="18" customWidth="1"/>
    <col min="2" max="2" width="15.5703125" customWidth="1"/>
    <col min="3" max="3" width="22" customWidth="1"/>
    <col min="4" max="4" width="19.140625" customWidth="1"/>
    <col min="5" max="5" width="15.5703125" customWidth="1"/>
    <col min="6" max="6" width="21" customWidth="1"/>
    <col min="7" max="7" width="27.42578125" customWidth="1"/>
  </cols>
  <sheetData>
    <row r="1" spans="1:7" ht="21" x14ac:dyDescent="0.35">
      <c r="A1" s="58" t="s">
        <v>376</v>
      </c>
      <c r="B1" s="58"/>
      <c r="C1" s="58"/>
      <c r="D1" s="58"/>
    </row>
    <row r="2" spans="1:7" ht="15.75" x14ac:dyDescent="0.25">
      <c r="A2" s="63" t="s">
        <v>375</v>
      </c>
      <c r="B2" s="63"/>
      <c r="C2" s="63"/>
      <c r="D2" s="63"/>
    </row>
    <row r="3" spans="1:7" x14ac:dyDescent="0.25">
      <c r="A3" s="1" t="s">
        <v>369</v>
      </c>
      <c r="B3" s="1" t="s">
        <v>1</v>
      </c>
      <c r="C3" s="1" t="s">
        <v>370</v>
      </c>
      <c r="D3" s="1" t="s">
        <v>371</v>
      </c>
      <c r="E3" s="1" t="s">
        <v>372</v>
      </c>
      <c r="F3" s="1" t="s">
        <v>373</v>
      </c>
      <c r="G3" s="1" t="s">
        <v>374</v>
      </c>
    </row>
    <row r="4" spans="1:7" x14ac:dyDescent="0.25">
      <c r="A4" s="4">
        <v>45446</v>
      </c>
      <c r="B4" s="2" t="s">
        <v>30</v>
      </c>
      <c r="C4" s="2">
        <v>1135</v>
      </c>
      <c r="D4" s="2">
        <v>88</v>
      </c>
      <c r="E4" s="2">
        <v>344084</v>
      </c>
      <c r="F4" s="2">
        <v>8.06</v>
      </c>
      <c r="G4" s="3">
        <v>5904</v>
      </c>
    </row>
    <row r="5" spans="1:7" x14ac:dyDescent="0.25">
      <c r="A5" s="4">
        <v>45446</v>
      </c>
      <c r="B5" s="2" t="s">
        <v>38</v>
      </c>
      <c r="C5" s="2">
        <v>1312</v>
      </c>
      <c r="D5" s="2">
        <v>310</v>
      </c>
      <c r="E5" s="2">
        <v>42654</v>
      </c>
      <c r="F5" s="2">
        <v>4.9800000000000004</v>
      </c>
      <c r="G5" s="3">
        <v>9566</v>
      </c>
    </row>
    <row r="6" spans="1:7" x14ac:dyDescent="0.25">
      <c r="A6" s="4">
        <v>45446</v>
      </c>
      <c r="B6" s="2" t="s">
        <v>14</v>
      </c>
      <c r="C6" s="2">
        <v>584</v>
      </c>
      <c r="D6" s="2">
        <v>169</v>
      </c>
      <c r="E6" s="2">
        <v>146834</v>
      </c>
      <c r="F6" s="2">
        <v>8.31</v>
      </c>
      <c r="G6" s="3">
        <v>26752</v>
      </c>
    </row>
    <row r="7" spans="1:7" x14ac:dyDescent="0.25">
      <c r="A7" s="4">
        <v>45446</v>
      </c>
      <c r="B7" s="2" t="s">
        <v>25</v>
      </c>
      <c r="C7" s="2">
        <v>1535</v>
      </c>
      <c r="D7" s="2">
        <v>445</v>
      </c>
      <c r="E7" s="2">
        <v>395536</v>
      </c>
      <c r="F7" s="2">
        <v>4.1100000000000003</v>
      </c>
      <c r="G7" s="3">
        <v>30671</v>
      </c>
    </row>
    <row r="8" spans="1:7" x14ac:dyDescent="0.25">
      <c r="A8" s="4">
        <v>45453</v>
      </c>
      <c r="B8" s="2" t="s">
        <v>30</v>
      </c>
      <c r="C8" s="2">
        <v>656</v>
      </c>
      <c r="D8" s="2">
        <v>139</v>
      </c>
      <c r="E8" s="2">
        <v>49157</v>
      </c>
      <c r="F8" s="2">
        <v>9.0500000000000007</v>
      </c>
      <c r="G8" s="3">
        <v>9920</v>
      </c>
    </row>
    <row r="9" spans="1:7" x14ac:dyDescent="0.25">
      <c r="A9" s="4">
        <v>45453</v>
      </c>
      <c r="B9" s="2" t="s">
        <v>38</v>
      </c>
      <c r="C9" s="2">
        <v>1697</v>
      </c>
      <c r="D9" s="2">
        <v>414</v>
      </c>
      <c r="E9" s="2">
        <v>316555</v>
      </c>
      <c r="F9" s="2">
        <v>2.37</v>
      </c>
      <c r="G9" s="3">
        <v>7924</v>
      </c>
    </row>
    <row r="10" spans="1:7" x14ac:dyDescent="0.25">
      <c r="A10" s="4">
        <v>45453</v>
      </c>
      <c r="B10" s="2" t="s">
        <v>14</v>
      </c>
      <c r="C10" s="2">
        <v>436</v>
      </c>
      <c r="D10" s="2">
        <v>250</v>
      </c>
      <c r="E10" s="2">
        <v>254347</v>
      </c>
      <c r="F10" s="2">
        <v>4.01</v>
      </c>
      <c r="G10" s="3">
        <v>8912</v>
      </c>
    </row>
    <row r="11" spans="1:7" x14ac:dyDescent="0.25">
      <c r="A11" s="4">
        <v>45453</v>
      </c>
      <c r="B11" s="2" t="s">
        <v>25</v>
      </c>
      <c r="C11" s="2">
        <v>1197</v>
      </c>
      <c r="D11" s="2">
        <v>203</v>
      </c>
      <c r="E11" s="2">
        <v>413878</v>
      </c>
      <c r="F11" s="2">
        <v>3.16</v>
      </c>
      <c r="G11" s="3">
        <v>21205</v>
      </c>
    </row>
    <row r="12" spans="1:7" x14ac:dyDescent="0.25">
      <c r="A12" s="4">
        <v>45460</v>
      </c>
      <c r="B12" s="2" t="s">
        <v>30</v>
      </c>
      <c r="C12" s="2">
        <v>1048</v>
      </c>
      <c r="D12" s="2">
        <v>155</v>
      </c>
      <c r="E12" s="2">
        <v>456946</v>
      </c>
      <c r="F12" s="2">
        <v>2.46</v>
      </c>
      <c r="G12" s="3">
        <v>11329</v>
      </c>
    </row>
    <row r="13" spans="1:7" x14ac:dyDescent="0.25">
      <c r="A13" s="4">
        <v>45460</v>
      </c>
      <c r="B13" s="2" t="s">
        <v>38</v>
      </c>
      <c r="C13" s="2">
        <v>1753</v>
      </c>
      <c r="D13" s="2">
        <v>371</v>
      </c>
      <c r="E13" s="2">
        <v>169496</v>
      </c>
      <c r="F13" s="2">
        <v>8.11</v>
      </c>
      <c r="G13" s="3">
        <v>46670</v>
      </c>
    </row>
    <row r="14" spans="1:7" x14ac:dyDescent="0.25">
      <c r="A14" s="4">
        <v>45460</v>
      </c>
      <c r="B14" s="2" t="s">
        <v>14</v>
      </c>
      <c r="C14" s="2">
        <v>1335</v>
      </c>
      <c r="D14" s="2">
        <v>40</v>
      </c>
      <c r="E14" s="2">
        <v>122732</v>
      </c>
      <c r="F14" s="2">
        <v>8.19</v>
      </c>
      <c r="G14" s="3">
        <v>22482</v>
      </c>
    </row>
    <row r="15" spans="1:7" x14ac:dyDescent="0.25">
      <c r="A15" s="4">
        <v>45460</v>
      </c>
      <c r="B15" s="2" t="s">
        <v>25</v>
      </c>
      <c r="C15" s="2">
        <v>403</v>
      </c>
      <c r="D15" s="2">
        <v>66</v>
      </c>
      <c r="E15" s="2">
        <v>382851</v>
      </c>
      <c r="F15" s="2">
        <v>3.49</v>
      </c>
      <c r="G15" s="3">
        <v>24313</v>
      </c>
    </row>
    <row r="16" spans="1:7" x14ac:dyDescent="0.25">
      <c r="A16" s="4">
        <v>45467</v>
      </c>
      <c r="B16" s="2" t="s">
        <v>30</v>
      </c>
      <c r="C16" s="2">
        <v>911</v>
      </c>
      <c r="D16" s="2">
        <v>282</v>
      </c>
      <c r="E16" s="2">
        <v>35664</v>
      </c>
      <c r="F16" s="2">
        <v>6.92</v>
      </c>
      <c r="G16" s="3">
        <v>18050</v>
      </c>
    </row>
    <row r="17" spans="1:7" x14ac:dyDescent="0.25">
      <c r="A17" s="4">
        <v>45467</v>
      </c>
      <c r="B17" s="2" t="s">
        <v>38</v>
      </c>
      <c r="C17" s="2">
        <v>1779</v>
      </c>
      <c r="D17" s="2">
        <v>109</v>
      </c>
      <c r="E17" s="2">
        <v>26295</v>
      </c>
      <c r="F17" s="2">
        <v>9.1199999999999992</v>
      </c>
      <c r="G17" s="3">
        <v>30635</v>
      </c>
    </row>
    <row r="18" spans="1:7" x14ac:dyDescent="0.25">
      <c r="A18" s="4">
        <v>45467</v>
      </c>
      <c r="B18" s="2" t="s">
        <v>14</v>
      </c>
      <c r="C18" s="2">
        <v>1238</v>
      </c>
      <c r="D18" s="2">
        <v>403</v>
      </c>
      <c r="E18" s="2">
        <v>298421</v>
      </c>
      <c r="F18" s="2">
        <v>3.5</v>
      </c>
      <c r="G18" s="3">
        <v>31280</v>
      </c>
    </row>
    <row r="19" spans="1:7" x14ac:dyDescent="0.25">
      <c r="A19" s="4">
        <v>45467</v>
      </c>
      <c r="B19" s="2" t="s">
        <v>25</v>
      </c>
      <c r="C19" s="2">
        <v>308</v>
      </c>
      <c r="D19" s="2">
        <v>431</v>
      </c>
      <c r="E19" s="2">
        <v>426184</v>
      </c>
      <c r="F19" s="2">
        <v>2.62</v>
      </c>
      <c r="G19" s="3">
        <v>1783</v>
      </c>
    </row>
    <row r="20" spans="1:7" x14ac:dyDescent="0.25">
      <c r="A20" s="4">
        <v>45474</v>
      </c>
      <c r="B20" s="2" t="s">
        <v>30</v>
      </c>
      <c r="C20" s="2">
        <v>226</v>
      </c>
      <c r="D20" s="2">
        <v>445</v>
      </c>
      <c r="E20" s="2">
        <v>419447</v>
      </c>
      <c r="F20" s="2">
        <v>9.36</v>
      </c>
      <c r="G20" s="3">
        <v>9566</v>
      </c>
    </row>
    <row r="21" spans="1:7" x14ac:dyDescent="0.25">
      <c r="A21" s="4">
        <v>45474</v>
      </c>
      <c r="B21" s="2" t="s">
        <v>38</v>
      </c>
      <c r="C21" s="2">
        <v>505</v>
      </c>
      <c r="D21" s="2">
        <v>441</v>
      </c>
      <c r="E21" s="2">
        <v>220020</v>
      </c>
      <c r="F21" s="2">
        <v>4.4800000000000004</v>
      </c>
      <c r="G21" s="3">
        <v>42307</v>
      </c>
    </row>
    <row r="22" spans="1:7" x14ac:dyDescent="0.25">
      <c r="A22" s="4">
        <v>45474</v>
      </c>
      <c r="B22" s="2" t="s">
        <v>14</v>
      </c>
      <c r="C22" s="2">
        <v>1420</v>
      </c>
      <c r="D22" s="2">
        <v>63</v>
      </c>
      <c r="E22" s="2">
        <v>315305</v>
      </c>
      <c r="F22" s="2">
        <v>6.19</v>
      </c>
      <c r="G22" s="3">
        <v>5914</v>
      </c>
    </row>
    <row r="23" spans="1:7" x14ac:dyDescent="0.25">
      <c r="A23" s="4">
        <v>45474</v>
      </c>
      <c r="B23" s="2" t="s">
        <v>25</v>
      </c>
      <c r="C23" s="2">
        <v>144</v>
      </c>
      <c r="D23" s="2">
        <v>53</v>
      </c>
      <c r="E23" s="2">
        <v>113678</v>
      </c>
      <c r="F23" s="2">
        <v>8.7200000000000006</v>
      </c>
      <c r="G23" s="3">
        <v>30060</v>
      </c>
    </row>
    <row r="24" spans="1:7" x14ac:dyDescent="0.25">
      <c r="A24" s="4">
        <v>45481</v>
      </c>
      <c r="B24" s="2" t="s">
        <v>30</v>
      </c>
      <c r="C24" s="2">
        <v>1757</v>
      </c>
      <c r="D24" s="2">
        <v>85</v>
      </c>
      <c r="E24" s="2">
        <v>58223</v>
      </c>
      <c r="F24" s="2">
        <v>8.74</v>
      </c>
      <c r="G24" s="3">
        <v>22728</v>
      </c>
    </row>
    <row r="25" spans="1:7" x14ac:dyDescent="0.25">
      <c r="A25" s="4">
        <v>45481</v>
      </c>
      <c r="B25" s="2" t="s">
        <v>38</v>
      </c>
      <c r="C25" s="2">
        <v>350</v>
      </c>
      <c r="D25" s="2">
        <v>41</v>
      </c>
      <c r="E25" s="2">
        <v>251694</v>
      </c>
      <c r="F25" s="2">
        <v>1.91</v>
      </c>
      <c r="G25" s="3">
        <v>38610</v>
      </c>
    </row>
    <row r="26" spans="1:7" x14ac:dyDescent="0.25">
      <c r="A26" s="4">
        <v>45481</v>
      </c>
      <c r="B26" s="2" t="s">
        <v>14</v>
      </c>
      <c r="C26" s="2">
        <v>987</v>
      </c>
      <c r="D26" s="2">
        <v>440</v>
      </c>
      <c r="E26" s="2">
        <v>389810</v>
      </c>
      <c r="F26" s="2">
        <v>4.66</v>
      </c>
      <c r="G26" s="3">
        <v>2932</v>
      </c>
    </row>
    <row r="27" spans="1:7" x14ac:dyDescent="0.25">
      <c r="A27" s="4">
        <v>45481</v>
      </c>
      <c r="B27" s="2" t="s">
        <v>25</v>
      </c>
      <c r="C27" s="2">
        <v>883</v>
      </c>
      <c r="D27" s="2">
        <v>369</v>
      </c>
      <c r="E27" s="2">
        <v>233694</v>
      </c>
      <c r="F27" s="2">
        <v>2.88</v>
      </c>
      <c r="G27" s="3">
        <v>15071</v>
      </c>
    </row>
    <row r="28" spans="1:7" x14ac:dyDescent="0.25">
      <c r="A28" s="4">
        <v>45488</v>
      </c>
      <c r="B28" s="2" t="s">
        <v>30</v>
      </c>
      <c r="C28" s="2">
        <v>1960</v>
      </c>
      <c r="D28" s="2">
        <v>115</v>
      </c>
      <c r="E28" s="2">
        <v>154169</v>
      </c>
      <c r="F28" s="2">
        <v>3.74</v>
      </c>
      <c r="G28" s="3">
        <v>10740</v>
      </c>
    </row>
    <row r="29" spans="1:7" x14ac:dyDescent="0.25">
      <c r="A29" s="4">
        <v>45488</v>
      </c>
      <c r="B29" s="2" t="s">
        <v>38</v>
      </c>
      <c r="C29" s="2">
        <v>170</v>
      </c>
      <c r="D29" s="2">
        <v>334</v>
      </c>
      <c r="E29" s="2">
        <v>334626</v>
      </c>
      <c r="F29" s="2">
        <v>6.44</v>
      </c>
      <c r="G29" s="3">
        <v>43420</v>
      </c>
    </row>
    <row r="30" spans="1:7" x14ac:dyDescent="0.25">
      <c r="A30" s="4">
        <v>45488</v>
      </c>
      <c r="B30" s="2" t="s">
        <v>14</v>
      </c>
      <c r="C30" s="2">
        <v>704</v>
      </c>
      <c r="D30" s="2">
        <v>275</v>
      </c>
      <c r="E30" s="2">
        <v>226002</v>
      </c>
      <c r="F30" s="2">
        <v>8.56</v>
      </c>
      <c r="G30" s="3">
        <v>32393</v>
      </c>
    </row>
    <row r="31" spans="1:7" x14ac:dyDescent="0.25">
      <c r="A31" s="4">
        <v>45488</v>
      </c>
      <c r="B31" s="2" t="s">
        <v>25</v>
      </c>
      <c r="C31" s="2">
        <v>224</v>
      </c>
      <c r="D31" s="2">
        <v>64</v>
      </c>
      <c r="E31" s="2">
        <v>156683</v>
      </c>
      <c r="F31" s="2">
        <v>4.5599999999999996</v>
      </c>
      <c r="G31" s="3">
        <v>28474</v>
      </c>
    </row>
    <row r="32" spans="1:7" x14ac:dyDescent="0.25">
      <c r="A32" s="4">
        <v>45495</v>
      </c>
      <c r="B32" s="2" t="s">
        <v>30</v>
      </c>
      <c r="C32" s="2">
        <v>508</v>
      </c>
      <c r="D32" s="2">
        <v>349</v>
      </c>
      <c r="E32" s="2">
        <v>473812</v>
      </c>
      <c r="F32" s="2">
        <v>7.88</v>
      </c>
      <c r="G32" s="3">
        <v>17328</v>
      </c>
    </row>
    <row r="33" spans="1:7" x14ac:dyDescent="0.25">
      <c r="A33" s="4">
        <v>45495</v>
      </c>
      <c r="B33" s="2" t="s">
        <v>38</v>
      </c>
      <c r="C33" s="2">
        <v>1391</v>
      </c>
      <c r="D33" s="2">
        <v>430</v>
      </c>
      <c r="E33" s="2">
        <v>295032</v>
      </c>
      <c r="F33" s="2">
        <v>7.86</v>
      </c>
      <c r="G33" s="3">
        <v>26067</v>
      </c>
    </row>
    <row r="34" spans="1:7" x14ac:dyDescent="0.25">
      <c r="A34" s="4">
        <v>45495</v>
      </c>
      <c r="B34" s="2" t="s">
        <v>14</v>
      </c>
      <c r="C34" s="2">
        <v>1701</v>
      </c>
      <c r="D34" s="2">
        <v>385</v>
      </c>
      <c r="E34" s="2">
        <v>198278</v>
      </c>
      <c r="F34" s="2">
        <v>5.34</v>
      </c>
      <c r="G34" s="3">
        <v>32763</v>
      </c>
    </row>
    <row r="35" spans="1:7" x14ac:dyDescent="0.25">
      <c r="A35" s="4">
        <v>45495</v>
      </c>
      <c r="B35" s="2" t="s">
        <v>25</v>
      </c>
      <c r="C35" s="2">
        <v>804</v>
      </c>
      <c r="D35" s="2">
        <v>487</v>
      </c>
      <c r="E35" s="2">
        <v>306564</v>
      </c>
      <c r="F35" s="2">
        <v>5.52</v>
      </c>
      <c r="G35" s="3">
        <v>26452</v>
      </c>
    </row>
    <row r="36" spans="1:7" x14ac:dyDescent="0.25">
      <c r="A36" s="4">
        <v>45502</v>
      </c>
      <c r="B36" s="2" t="s">
        <v>30</v>
      </c>
      <c r="C36" s="2">
        <v>653</v>
      </c>
      <c r="D36" s="2">
        <v>112</v>
      </c>
      <c r="E36" s="2">
        <v>23664</v>
      </c>
      <c r="F36" s="2">
        <v>4.05</v>
      </c>
      <c r="G36" s="3">
        <v>15353</v>
      </c>
    </row>
    <row r="37" spans="1:7" x14ac:dyDescent="0.25">
      <c r="A37" s="4">
        <v>45502</v>
      </c>
      <c r="B37" s="2" t="s">
        <v>38</v>
      </c>
      <c r="C37" s="2">
        <v>160</v>
      </c>
      <c r="D37" s="2">
        <v>478</v>
      </c>
      <c r="E37" s="2">
        <v>435034</v>
      </c>
      <c r="F37" s="2">
        <v>7.73</v>
      </c>
      <c r="G37" s="3">
        <v>4839</v>
      </c>
    </row>
    <row r="38" spans="1:7" x14ac:dyDescent="0.25">
      <c r="A38" s="4">
        <v>45502</v>
      </c>
      <c r="B38" s="2" t="s">
        <v>14</v>
      </c>
      <c r="C38" s="2">
        <v>1756</v>
      </c>
      <c r="D38" s="2">
        <v>261</v>
      </c>
      <c r="E38" s="2">
        <v>287574</v>
      </c>
      <c r="F38" s="2">
        <v>4.3600000000000003</v>
      </c>
      <c r="G38" s="3">
        <v>39272</v>
      </c>
    </row>
    <row r="39" spans="1:7" x14ac:dyDescent="0.25">
      <c r="A39" s="4">
        <v>45502</v>
      </c>
      <c r="B39" s="2" t="s">
        <v>25</v>
      </c>
      <c r="C39" s="2">
        <v>576</v>
      </c>
      <c r="D39" s="2">
        <v>101</v>
      </c>
      <c r="E39" s="2">
        <v>62499</v>
      </c>
      <c r="F39" s="2">
        <v>3.48</v>
      </c>
      <c r="G39" s="3">
        <v>16804</v>
      </c>
    </row>
    <row r="40" spans="1:7" x14ac:dyDescent="0.25">
      <c r="A40" s="4">
        <v>45509</v>
      </c>
      <c r="B40" s="2" t="s">
        <v>30</v>
      </c>
      <c r="C40" s="2">
        <v>645</v>
      </c>
      <c r="D40" s="2">
        <v>293</v>
      </c>
      <c r="E40" s="2">
        <v>437968</v>
      </c>
      <c r="F40" s="2">
        <v>7.83</v>
      </c>
      <c r="G40" s="3">
        <v>49303</v>
      </c>
    </row>
    <row r="41" spans="1:7" x14ac:dyDescent="0.25">
      <c r="A41" s="4">
        <v>45509</v>
      </c>
      <c r="B41" s="2" t="s">
        <v>38</v>
      </c>
      <c r="C41" s="2">
        <v>214</v>
      </c>
      <c r="D41" s="2">
        <v>411</v>
      </c>
      <c r="E41" s="2">
        <v>125034</v>
      </c>
      <c r="F41" s="2">
        <v>6.11</v>
      </c>
      <c r="G41" s="3">
        <v>26455</v>
      </c>
    </row>
    <row r="42" spans="1:7" x14ac:dyDescent="0.25">
      <c r="A42" s="4">
        <v>45509</v>
      </c>
      <c r="B42" s="2" t="s">
        <v>14</v>
      </c>
      <c r="C42" s="2">
        <v>826</v>
      </c>
      <c r="D42" s="2">
        <v>498</v>
      </c>
      <c r="E42" s="2">
        <v>449994</v>
      </c>
      <c r="F42" s="2">
        <v>9.43</v>
      </c>
      <c r="G42" s="3">
        <v>12384</v>
      </c>
    </row>
    <row r="43" spans="1:7" x14ac:dyDescent="0.25">
      <c r="A43" s="4">
        <v>45509</v>
      </c>
      <c r="B43" s="2" t="s">
        <v>25</v>
      </c>
      <c r="C43" s="2">
        <v>460</v>
      </c>
      <c r="D43" s="2">
        <v>141</v>
      </c>
      <c r="E43" s="2">
        <v>320650</v>
      </c>
      <c r="F43" s="2">
        <v>4.04</v>
      </c>
      <c r="G43" s="3">
        <v>49372</v>
      </c>
    </row>
    <row r="44" spans="1:7" x14ac:dyDescent="0.25">
      <c r="A44" s="4">
        <v>45516</v>
      </c>
      <c r="B44" s="2" t="s">
        <v>30</v>
      </c>
      <c r="C44" s="2">
        <v>1528</v>
      </c>
      <c r="D44" s="2">
        <v>203</v>
      </c>
      <c r="E44" s="2">
        <v>489188</v>
      </c>
      <c r="F44" s="2">
        <v>6.23</v>
      </c>
      <c r="G44" s="3">
        <v>47101</v>
      </c>
    </row>
    <row r="45" spans="1:7" x14ac:dyDescent="0.25">
      <c r="A45" s="4">
        <v>45516</v>
      </c>
      <c r="B45" s="2" t="s">
        <v>38</v>
      </c>
      <c r="C45" s="2">
        <v>1534</v>
      </c>
      <c r="D45" s="2">
        <v>200</v>
      </c>
      <c r="E45" s="2">
        <v>307612</v>
      </c>
      <c r="F45" s="2">
        <v>6.01</v>
      </c>
      <c r="G45" s="3">
        <v>37903</v>
      </c>
    </row>
    <row r="46" spans="1:7" x14ac:dyDescent="0.25">
      <c r="A46" s="4">
        <v>45516</v>
      </c>
      <c r="B46" s="2" t="s">
        <v>14</v>
      </c>
      <c r="C46" s="2">
        <v>485</v>
      </c>
      <c r="D46" s="2">
        <v>448</v>
      </c>
      <c r="E46" s="2">
        <v>434883</v>
      </c>
      <c r="F46" s="2">
        <v>8.5500000000000007</v>
      </c>
      <c r="G46" s="3">
        <v>33258</v>
      </c>
    </row>
    <row r="47" spans="1:7" x14ac:dyDescent="0.25">
      <c r="A47" s="4">
        <v>45516</v>
      </c>
      <c r="B47" s="2" t="s">
        <v>25</v>
      </c>
      <c r="C47" s="2">
        <v>1210</v>
      </c>
      <c r="D47" s="2">
        <v>178</v>
      </c>
      <c r="E47" s="2">
        <v>102042</v>
      </c>
      <c r="F47" s="2">
        <v>5.42</v>
      </c>
      <c r="G47" s="3">
        <v>6915</v>
      </c>
    </row>
    <row r="48" spans="1:7" x14ac:dyDescent="0.25">
      <c r="A48" s="4">
        <v>45523</v>
      </c>
      <c r="B48" s="2" t="s">
        <v>30</v>
      </c>
      <c r="C48" s="2">
        <v>215</v>
      </c>
      <c r="D48" s="2">
        <v>139</v>
      </c>
      <c r="E48" s="2">
        <v>325444</v>
      </c>
      <c r="F48" s="2">
        <v>3.25</v>
      </c>
      <c r="G48" s="3">
        <v>35501</v>
      </c>
    </row>
    <row r="49" spans="1:7" x14ac:dyDescent="0.25">
      <c r="A49" s="4">
        <v>45523</v>
      </c>
      <c r="B49" s="2" t="s">
        <v>38</v>
      </c>
      <c r="C49" s="2">
        <v>1078</v>
      </c>
      <c r="D49" s="2">
        <v>20</v>
      </c>
      <c r="E49" s="2">
        <v>183924</v>
      </c>
      <c r="F49" s="2">
        <v>8.84</v>
      </c>
      <c r="G49" s="3">
        <v>14203</v>
      </c>
    </row>
    <row r="50" spans="1:7" x14ac:dyDescent="0.25">
      <c r="A50" s="4">
        <v>45523</v>
      </c>
      <c r="B50" s="2" t="s">
        <v>14</v>
      </c>
      <c r="C50" s="2">
        <v>1751</v>
      </c>
      <c r="D50" s="2">
        <v>86</v>
      </c>
      <c r="E50" s="2">
        <v>188655</v>
      </c>
      <c r="F50" s="2">
        <v>7.24</v>
      </c>
      <c r="G50" s="3">
        <v>22206</v>
      </c>
    </row>
    <row r="51" spans="1:7" x14ac:dyDescent="0.25">
      <c r="A51" s="4">
        <v>45523</v>
      </c>
      <c r="B51" s="2" t="s">
        <v>25</v>
      </c>
      <c r="C51" s="2">
        <v>221</v>
      </c>
      <c r="D51" s="2">
        <v>31</v>
      </c>
      <c r="E51" s="2">
        <v>87443</v>
      </c>
      <c r="F51" s="2">
        <v>6.19</v>
      </c>
      <c r="G51" s="3">
        <v>10283</v>
      </c>
    </row>
    <row r="52" spans="1:7" x14ac:dyDescent="0.25">
      <c r="A52" s="4">
        <v>45530</v>
      </c>
      <c r="B52" s="2" t="s">
        <v>30</v>
      </c>
      <c r="C52" s="2">
        <v>1685</v>
      </c>
      <c r="D52" s="2">
        <v>76</v>
      </c>
      <c r="E52" s="2">
        <v>453799</v>
      </c>
      <c r="F52" s="2">
        <v>5.71</v>
      </c>
      <c r="G52" s="3">
        <v>24913</v>
      </c>
    </row>
    <row r="53" spans="1:7" x14ac:dyDescent="0.25">
      <c r="A53" s="4">
        <v>45530</v>
      </c>
      <c r="B53" s="2" t="s">
        <v>38</v>
      </c>
      <c r="C53" s="2">
        <v>248</v>
      </c>
      <c r="D53" s="2">
        <v>211</v>
      </c>
      <c r="E53" s="2">
        <v>379380</v>
      </c>
      <c r="F53" s="2">
        <v>9.0399999999999991</v>
      </c>
      <c r="G53" s="3">
        <v>26925</v>
      </c>
    </row>
    <row r="54" spans="1:7" x14ac:dyDescent="0.25">
      <c r="A54" s="4">
        <v>45530</v>
      </c>
      <c r="B54" s="2" t="s">
        <v>14</v>
      </c>
      <c r="C54" s="2">
        <v>1300</v>
      </c>
      <c r="D54" s="2">
        <v>71</v>
      </c>
      <c r="E54" s="2">
        <v>186454</v>
      </c>
      <c r="F54" s="2">
        <v>3.91</v>
      </c>
      <c r="G54" s="3">
        <v>9942</v>
      </c>
    </row>
    <row r="55" spans="1:7" x14ac:dyDescent="0.25">
      <c r="A55" s="4">
        <v>45530</v>
      </c>
      <c r="B55" s="2" t="s">
        <v>25</v>
      </c>
      <c r="C55" s="2">
        <v>422</v>
      </c>
      <c r="D55" s="2">
        <v>394</v>
      </c>
      <c r="E55" s="2">
        <v>239044</v>
      </c>
      <c r="F55" s="2">
        <v>7.83</v>
      </c>
      <c r="G55" s="3">
        <v>32929</v>
      </c>
    </row>
    <row r="56" spans="1:7" x14ac:dyDescent="0.25">
      <c r="A56" s="4">
        <v>45537</v>
      </c>
      <c r="B56" s="2" t="s">
        <v>30</v>
      </c>
      <c r="C56" s="2">
        <v>1429</v>
      </c>
      <c r="D56" s="2">
        <v>182</v>
      </c>
      <c r="E56" s="2">
        <v>101332</v>
      </c>
      <c r="F56" s="2">
        <v>7.16</v>
      </c>
      <c r="G56" s="3">
        <v>37829</v>
      </c>
    </row>
    <row r="57" spans="1:7" x14ac:dyDescent="0.25">
      <c r="A57" s="4">
        <v>45537</v>
      </c>
      <c r="B57" s="2" t="s">
        <v>38</v>
      </c>
      <c r="C57" s="2">
        <v>1520</v>
      </c>
      <c r="D57" s="2">
        <v>475</v>
      </c>
      <c r="E57" s="2">
        <v>496982</v>
      </c>
      <c r="F57" s="2">
        <v>6.41</v>
      </c>
      <c r="G57" s="3">
        <v>24384</v>
      </c>
    </row>
    <row r="58" spans="1:7" x14ac:dyDescent="0.25">
      <c r="A58" s="4">
        <v>45537</v>
      </c>
      <c r="B58" s="2" t="s">
        <v>14</v>
      </c>
      <c r="C58" s="2">
        <v>557</v>
      </c>
      <c r="D58" s="2">
        <v>360</v>
      </c>
      <c r="E58" s="2">
        <v>318779</v>
      </c>
      <c r="F58" s="2">
        <v>8.02</v>
      </c>
      <c r="G58" s="3">
        <v>25797</v>
      </c>
    </row>
    <row r="59" spans="1:7" x14ac:dyDescent="0.25">
      <c r="A59" s="4">
        <v>45537</v>
      </c>
      <c r="B59" s="2" t="s">
        <v>25</v>
      </c>
      <c r="C59" s="2">
        <v>728</v>
      </c>
      <c r="D59" s="2">
        <v>395</v>
      </c>
      <c r="E59" s="2">
        <v>370971</v>
      </c>
      <c r="F59" s="2">
        <v>3.86</v>
      </c>
      <c r="G59" s="3">
        <v>12646</v>
      </c>
    </row>
    <row r="60" spans="1:7" x14ac:dyDescent="0.25">
      <c r="A60" s="4">
        <v>45544</v>
      </c>
      <c r="B60" s="2" t="s">
        <v>30</v>
      </c>
      <c r="C60" s="2">
        <v>1592</v>
      </c>
      <c r="D60" s="2">
        <v>20</v>
      </c>
      <c r="E60" s="2">
        <v>378054</v>
      </c>
      <c r="F60" s="2">
        <v>9.09</v>
      </c>
      <c r="G60" s="3">
        <v>26663</v>
      </c>
    </row>
    <row r="61" spans="1:7" x14ac:dyDescent="0.25">
      <c r="A61" s="4">
        <v>45544</v>
      </c>
      <c r="B61" s="2" t="s">
        <v>38</v>
      </c>
      <c r="C61" s="2">
        <v>1842</v>
      </c>
      <c r="D61" s="2">
        <v>414</v>
      </c>
      <c r="E61" s="2">
        <v>307524</v>
      </c>
      <c r="F61" s="2">
        <v>1.76</v>
      </c>
      <c r="G61" s="3">
        <v>40478</v>
      </c>
    </row>
    <row r="62" spans="1:7" x14ac:dyDescent="0.25">
      <c r="A62" s="4">
        <v>45544</v>
      </c>
      <c r="B62" s="2" t="s">
        <v>14</v>
      </c>
      <c r="C62" s="2">
        <v>751</v>
      </c>
      <c r="D62" s="2">
        <v>491</v>
      </c>
      <c r="E62" s="2">
        <v>434047</v>
      </c>
      <c r="F62" s="2">
        <v>9.24</v>
      </c>
      <c r="G62" s="3">
        <v>15476</v>
      </c>
    </row>
    <row r="63" spans="1:7" x14ac:dyDescent="0.25">
      <c r="A63" s="4">
        <v>45544</v>
      </c>
      <c r="B63" s="2" t="s">
        <v>25</v>
      </c>
      <c r="C63" s="2">
        <v>1409</v>
      </c>
      <c r="D63" s="2">
        <v>309</v>
      </c>
      <c r="E63" s="2">
        <v>64583</v>
      </c>
      <c r="F63" s="2">
        <v>8.99</v>
      </c>
      <c r="G63" s="3">
        <v>10217</v>
      </c>
    </row>
    <row r="64" spans="1:7" x14ac:dyDescent="0.25">
      <c r="A64" s="4">
        <v>45551</v>
      </c>
      <c r="B64" s="2" t="s">
        <v>30</v>
      </c>
      <c r="C64" s="2">
        <v>778</v>
      </c>
      <c r="D64" s="2">
        <v>401</v>
      </c>
      <c r="E64" s="2">
        <v>50793</v>
      </c>
      <c r="F64" s="2">
        <v>3.4</v>
      </c>
      <c r="G64" s="3">
        <v>21939</v>
      </c>
    </row>
    <row r="65" spans="1:7" x14ac:dyDescent="0.25">
      <c r="A65" s="4">
        <v>45551</v>
      </c>
      <c r="B65" s="2" t="s">
        <v>38</v>
      </c>
      <c r="C65" s="2">
        <v>443</v>
      </c>
      <c r="D65" s="2">
        <v>345</v>
      </c>
      <c r="E65" s="2">
        <v>474162</v>
      </c>
      <c r="F65" s="2">
        <v>9.1999999999999993</v>
      </c>
      <c r="G65" s="3">
        <v>47462</v>
      </c>
    </row>
    <row r="66" spans="1:7" x14ac:dyDescent="0.25">
      <c r="A66" s="4">
        <v>45551</v>
      </c>
      <c r="B66" s="2" t="s">
        <v>14</v>
      </c>
      <c r="C66" s="2">
        <v>1472</v>
      </c>
      <c r="D66" s="2">
        <v>347</v>
      </c>
      <c r="E66" s="2">
        <v>392355</v>
      </c>
      <c r="F66" s="2">
        <v>8.59</v>
      </c>
      <c r="G66" s="3">
        <v>30270</v>
      </c>
    </row>
    <row r="67" spans="1:7" x14ac:dyDescent="0.25">
      <c r="A67" s="4">
        <v>45551</v>
      </c>
      <c r="B67" s="2" t="s">
        <v>25</v>
      </c>
      <c r="C67" s="2">
        <v>123</v>
      </c>
      <c r="D67" s="2">
        <v>155</v>
      </c>
      <c r="E67" s="2">
        <v>119934</v>
      </c>
      <c r="F67" s="2">
        <v>3.5</v>
      </c>
      <c r="G67" s="3">
        <v>5442</v>
      </c>
    </row>
    <row r="68" spans="1:7" x14ac:dyDescent="0.25">
      <c r="A68" s="4">
        <v>45558</v>
      </c>
      <c r="B68" s="2" t="s">
        <v>30</v>
      </c>
      <c r="C68" s="2">
        <v>817</v>
      </c>
      <c r="D68" s="2">
        <v>151</v>
      </c>
      <c r="E68" s="2">
        <v>422625</v>
      </c>
      <c r="F68" s="2">
        <v>2.36</v>
      </c>
      <c r="G68" s="3">
        <v>1083</v>
      </c>
    </row>
    <row r="69" spans="1:7" x14ac:dyDescent="0.25">
      <c r="A69" s="4">
        <v>45558</v>
      </c>
      <c r="B69" s="2" t="s">
        <v>38</v>
      </c>
      <c r="C69" s="2">
        <v>198</v>
      </c>
      <c r="D69" s="2">
        <v>217</v>
      </c>
      <c r="E69" s="2">
        <v>239753</v>
      </c>
      <c r="F69" s="2">
        <v>7.36</v>
      </c>
      <c r="G69" s="3">
        <v>11901</v>
      </c>
    </row>
    <row r="70" spans="1:7" x14ac:dyDescent="0.25">
      <c r="A70" s="4">
        <v>45558</v>
      </c>
      <c r="B70" s="2" t="s">
        <v>14</v>
      </c>
      <c r="C70" s="2">
        <v>1911</v>
      </c>
      <c r="D70" s="2">
        <v>231</v>
      </c>
      <c r="E70" s="2">
        <v>268516</v>
      </c>
      <c r="F70" s="2">
        <v>8.5500000000000007</v>
      </c>
      <c r="G70" s="3">
        <v>24018</v>
      </c>
    </row>
    <row r="71" spans="1:7" x14ac:dyDescent="0.25">
      <c r="A71" s="4">
        <v>45558</v>
      </c>
      <c r="B71" s="2" t="s">
        <v>25</v>
      </c>
      <c r="C71" s="2">
        <v>1218</v>
      </c>
      <c r="D71" s="2">
        <v>212</v>
      </c>
      <c r="E71" s="2">
        <v>63177</v>
      </c>
      <c r="F71" s="2">
        <v>8.1300000000000008</v>
      </c>
      <c r="G71" s="3">
        <v>38883</v>
      </c>
    </row>
    <row r="72" spans="1:7" x14ac:dyDescent="0.25">
      <c r="A72" s="4">
        <v>45565</v>
      </c>
      <c r="B72" s="2" t="s">
        <v>30</v>
      </c>
      <c r="C72" s="2">
        <v>1433</v>
      </c>
      <c r="D72" s="2">
        <v>408</v>
      </c>
      <c r="E72" s="2">
        <v>370269</v>
      </c>
      <c r="F72" s="2">
        <v>3.3</v>
      </c>
      <c r="G72" s="3">
        <v>30575</v>
      </c>
    </row>
    <row r="73" spans="1:7" x14ac:dyDescent="0.25">
      <c r="A73" s="4">
        <v>45565</v>
      </c>
      <c r="B73" s="2" t="s">
        <v>38</v>
      </c>
      <c r="C73" s="2">
        <v>250</v>
      </c>
      <c r="D73" s="2">
        <v>429</v>
      </c>
      <c r="E73" s="2">
        <v>453423</v>
      </c>
      <c r="F73" s="2">
        <v>1.77</v>
      </c>
      <c r="G73" s="3">
        <v>2315</v>
      </c>
    </row>
    <row r="74" spans="1:7" x14ac:dyDescent="0.25">
      <c r="A74" s="4">
        <v>45565</v>
      </c>
      <c r="B74" s="2" t="s">
        <v>14</v>
      </c>
      <c r="C74" s="2">
        <v>752</v>
      </c>
      <c r="D74" s="2">
        <v>153</v>
      </c>
      <c r="E74" s="2">
        <v>64906</v>
      </c>
      <c r="F74" s="2">
        <v>2.09</v>
      </c>
      <c r="G74" s="3">
        <v>12148</v>
      </c>
    </row>
    <row r="75" spans="1:7" x14ac:dyDescent="0.25">
      <c r="A75" s="4">
        <v>45565</v>
      </c>
      <c r="B75" s="2" t="s">
        <v>25</v>
      </c>
      <c r="C75" s="2">
        <v>1918</v>
      </c>
      <c r="D75" s="2">
        <v>212</v>
      </c>
      <c r="E75" s="2">
        <v>94360</v>
      </c>
      <c r="F75" s="2">
        <v>7.36</v>
      </c>
      <c r="G75" s="3">
        <v>36851</v>
      </c>
    </row>
    <row r="76" spans="1:7" x14ac:dyDescent="0.25">
      <c r="A76" s="4">
        <v>45572</v>
      </c>
      <c r="B76" s="2" t="s">
        <v>30</v>
      </c>
      <c r="C76" s="2">
        <v>1939</v>
      </c>
      <c r="D76" s="2">
        <v>67</v>
      </c>
      <c r="E76" s="2">
        <v>187183</v>
      </c>
      <c r="F76" s="2">
        <v>6.25</v>
      </c>
      <c r="G76" s="3">
        <v>41215</v>
      </c>
    </row>
    <row r="77" spans="1:7" x14ac:dyDescent="0.25">
      <c r="A77" s="4">
        <v>45572</v>
      </c>
      <c r="B77" s="2" t="s">
        <v>38</v>
      </c>
      <c r="C77" s="2">
        <v>1929</v>
      </c>
      <c r="D77" s="2">
        <v>267</v>
      </c>
      <c r="E77" s="2">
        <v>379363</v>
      </c>
      <c r="F77" s="2">
        <v>1.75</v>
      </c>
      <c r="G77" s="3">
        <v>43836</v>
      </c>
    </row>
    <row r="78" spans="1:7" x14ac:dyDescent="0.25">
      <c r="A78" s="4">
        <v>45572</v>
      </c>
      <c r="B78" s="2" t="s">
        <v>14</v>
      </c>
      <c r="C78" s="2">
        <v>437</v>
      </c>
      <c r="D78" s="2">
        <v>330</v>
      </c>
      <c r="E78" s="2">
        <v>476486</v>
      </c>
      <c r="F78" s="2">
        <v>4.97</v>
      </c>
      <c r="G78" s="3">
        <v>4509</v>
      </c>
    </row>
    <row r="79" spans="1:7" x14ac:dyDescent="0.25">
      <c r="A79" s="4">
        <v>45572</v>
      </c>
      <c r="B79" s="2" t="s">
        <v>25</v>
      </c>
      <c r="C79" s="2">
        <v>307</v>
      </c>
      <c r="D79" s="2">
        <v>189</v>
      </c>
      <c r="E79" s="2">
        <v>117767</v>
      </c>
      <c r="F79" s="2">
        <v>9.3000000000000007</v>
      </c>
      <c r="G79" s="3">
        <v>27822</v>
      </c>
    </row>
    <row r="80" spans="1:7" x14ac:dyDescent="0.25">
      <c r="A80" s="4">
        <v>45579</v>
      </c>
      <c r="B80" s="2" t="s">
        <v>30</v>
      </c>
      <c r="C80" s="2">
        <v>1527</v>
      </c>
      <c r="D80" s="2">
        <v>303</v>
      </c>
      <c r="E80" s="2">
        <v>388555</v>
      </c>
      <c r="F80" s="2">
        <v>8.9</v>
      </c>
      <c r="G80" s="3">
        <v>36397</v>
      </c>
    </row>
    <row r="81" spans="1:7" x14ac:dyDescent="0.25">
      <c r="A81" s="4">
        <v>45579</v>
      </c>
      <c r="B81" s="2" t="s">
        <v>38</v>
      </c>
      <c r="C81" s="2">
        <v>643</v>
      </c>
      <c r="D81" s="2">
        <v>358</v>
      </c>
      <c r="E81" s="2">
        <v>157599</v>
      </c>
      <c r="F81" s="2">
        <v>3.88</v>
      </c>
      <c r="G81" s="3">
        <v>7285</v>
      </c>
    </row>
    <row r="82" spans="1:7" x14ac:dyDescent="0.25">
      <c r="A82" s="4">
        <v>45579</v>
      </c>
      <c r="B82" s="2" t="s">
        <v>14</v>
      </c>
      <c r="C82" s="2">
        <v>201</v>
      </c>
      <c r="D82" s="2">
        <v>221</v>
      </c>
      <c r="E82" s="2">
        <v>309772</v>
      </c>
      <c r="F82" s="2">
        <v>5.9</v>
      </c>
      <c r="G82" s="3">
        <v>33174</v>
      </c>
    </row>
    <row r="83" spans="1:7" x14ac:dyDescent="0.25">
      <c r="A83" s="4">
        <v>45579</v>
      </c>
      <c r="B83" s="2" t="s">
        <v>25</v>
      </c>
      <c r="C83" s="2">
        <v>414</v>
      </c>
      <c r="D83" s="2">
        <v>47</v>
      </c>
      <c r="E83" s="2">
        <v>199178</v>
      </c>
      <c r="F83" s="2">
        <v>1.53</v>
      </c>
      <c r="G83" s="3">
        <v>6742</v>
      </c>
    </row>
    <row r="84" spans="1:7" x14ac:dyDescent="0.25">
      <c r="A84" s="4">
        <v>45586</v>
      </c>
      <c r="B84" s="2" t="s">
        <v>30</v>
      </c>
      <c r="C84" s="2">
        <v>703</v>
      </c>
      <c r="D84" s="2">
        <v>441</v>
      </c>
      <c r="E84" s="2">
        <v>357089</v>
      </c>
      <c r="F84" s="2">
        <v>6.5</v>
      </c>
      <c r="G84" s="3">
        <v>32478</v>
      </c>
    </row>
    <row r="85" spans="1:7" x14ac:dyDescent="0.25">
      <c r="A85" s="4">
        <v>45586</v>
      </c>
      <c r="B85" s="2" t="s">
        <v>38</v>
      </c>
      <c r="C85" s="2">
        <v>508</v>
      </c>
      <c r="D85" s="2">
        <v>69</v>
      </c>
      <c r="E85" s="2">
        <v>23492</v>
      </c>
      <c r="F85" s="2">
        <v>3.16</v>
      </c>
      <c r="G85" s="3">
        <v>42824</v>
      </c>
    </row>
    <row r="86" spans="1:7" x14ac:dyDescent="0.25">
      <c r="A86" s="4">
        <v>45586</v>
      </c>
      <c r="B86" s="2" t="s">
        <v>14</v>
      </c>
      <c r="C86" s="2">
        <v>697</v>
      </c>
      <c r="D86" s="2">
        <v>61</v>
      </c>
      <c r="E86" s="2">
        <v>258287</v>
      </c>
      <c r="F86" s="2">
        <v>8.25</v>
      </c>
      <c r="G86" s="3">
        <v>21208</v>
      </c>
    </row>
    <row r="87" spans="1:7" x14ac:dyDescent="0.25">
      <c r="A87" s="4">
        <v>45586</v>
      </c>
      <c r="B87" s="2" t="s">
        <v>25</v>
      </c>
      <c r="C87" s="2">
        <v>1707</v>
      </c>
      <c r="D87" s="2">
        <v>223</v>
      </c>
      <c r="E87" s="2">
        <v>256910</v>
      </c>
      <c r="F87" s="2">
        <v>5.41</v>
      </c>
      <c r="G87" s="3">
        <v>44321</v>
      </c>
    </row>
    <row r="88" spans="1:7" x14ac:dyDescent="0.25">
      <c r="A88" s="4">
        <v>45593</v>
      </c>
      <c r="B88" s="2" t="s">
        <v>30</v>
      </c>
      <c r="C88" s="2">
        <v>642</v>
      </c>
      <c r="D88" s="2">
        <v>66</v>
      </c>
      <c r="E88" s="2">
        <v>346522</v>
      </c>
      <c r="F88" s="2">
        <v>5.85</v>
      </c>
      <c r="G88" s="3">
        <v>13116</v>
      </c>
    </row>
    <row r="89" spans="1:7" x14ac:dyDescent="0.25">
      <c r="A89" s="4">
        <v>45593</v>
      </c>
      <c r="B89" s="2" t="s">
        <v>38</v>
      </c>
      <c r="C89" s="2">
        <v>859</v>
      </c>
      <c r="D89" s="2">
        <v>473</v>
      </c>
      <c r="E89" s="2">
        <v>209987</v>
      </c>
      <c r="F89" s="2">
        <v>4.46</v>
      </c>
      <c r="G89" s="3">
        <v>30214</v>
      </c>
    </row>
    <row r="90" spans="1:7" x14ac:dyDescent="0.25">
      <c r="A90" s="4">
        <v>45593</v>
      </c>
      <c r="B90" s="2" t="s">
        <v>14</v>
      </c>
      <c r="C90" s="2">
        <v>191</v>
      </c>
      <c r="D90" s="2">
        <v>154</v>
      </c>
      <c r="E90" s="2">
        <v>240550</v>
      </c>
      <c r="F90" s="2">
        <v>5.22</v>
      </c>
      <c r="G90" s="3">
        <v>15827</v>
      </c>
    </row>
    <row r="91" spans="1:7" x14ac:dyDescent="0.25">
      <c r="A91" s="4">
        <v>45593</v>
      </c>
      <c r="B91" s="2" t="s">
        <v>25</v>
      </c>
      <c r="C91" s="2">
        <v>1814</v>
      </c>
      <c r="D91" s="2">
        <v>157</v>
      </c>
      <c r="E91" s="2">
        <v>305827</v>
      </c>
      <c r="F91" s="2">
        <v>1.99</v>
      </c>
      <c r="G91" s="3">
        <v>46643</v>
      </c>
    </row>
    <row r="92" spans="1:7" x14ac:dyDescent="0.25">
      <c r="A92" s="4">
        <v>45600</v>
      </c>
      <c r="B92" s="2" t="s">
        <v>30</v>
      </c>
      <c r="C92" s="2">
        <v>1466</v>
      </c>
      <c r="D92" s="2">
        <v>69</v>
      </c>
      <c r="E92" s="2">
        <v>54935</v>
      </c>
      <c r="F92" s="2">
        <v>6.85</v>
      </c>
      <c r="G92" s="3">
        <v>36484</v>
      </c>
    </row>
    <row r="93" spans="1:7" x14ac:dyDescent="0.25">
      <c r="A93" s="4">
        <v>45600</v>
      </c>
      <c r="B93" s="2" t="s">
        <v>38</v>
      </c>
      <c r="C93" s="2">
        <v>947</v>
      </c>
      <c r="D93" s="2">
        <v>407</v>
      </c>
      <c r="E93" s="2">
        <v>319186</v>
      </c>
      <c r="F93" s="2">
        <v>3.32</v>
      </c>
      <c r="G93" s="3">
        <v>4996</v>
      </c>
    </row>
    <row r="94" spans="1:7" x14ac:dyDescent="0.25">
      <c r="A94" s="4">
        <v>45600</v>
      </c>
      <c r="B94" s="2" t="s">
        <v>14</v>
      </c>
      <c r="C94" s="2">
        <v>1821</v>
      </c>
      <c r="D94" s="2">
        <v>218</v>
      </c>
      <c r="E94" s="2">
        <v>439080</v>
      </c>
      <c r="F94" s="2">
        <v>5.68</v>
      </c>
      <c r="G94" s="3">
        <v>36095</v>
      </c>
    </row>
    <row r="95" spans="1:7" x14ac:dyDescent="0.25">
      <c r="A95" s="4">
        <v>45600</v>
      </c>
      <c r="B95" s="2" t="s">
        <v>25</v>
      </c>
      <c r="C95" s="2">
        <v>1507</v>
      </c>
      <c r="D95" s="2">
        <v>463</v>
      </c>
      <c r="E95" s="2">
        <v>258944</v>
      </c>
      <c r="F95" s="2">
        <v>6.08</v>
      </c>
      <c r="G95" s="3">
        <v>16443</v>
      </c>
    </row>
    <row r="96" spans="1:7" x14ac:dyDescent="0.25">
      <c r="A96" s="4">
        <v>45607</v>
      </c>
      <c r="B96" s="2" t="s">
        <v>30</v>
      </c>
      <c r="C96" s="2">
        <v>1075</v>
      </c>
      <c r="D96" s="2">
        <v>173</v>
      </c>
      <c r="E96" s="2">
        <v>51395</v>
      </c>
      <c r="F96" s="2">
        <v>4.66</v>
      </c>
      <c r="G96" s="3">
        <v>47812</v>
      </c>
    </row>
    <row r="97" spans="1:7" x14ac:dyDescent="0.25">
      <c r="A97" s="4">
        <v>45607</v>
      </c>
      <c r="B97" s="2" t="s">
        <v>38</v>
      </c>
      <c r="C97" s="2">
        <v>171</v>
      </c>
      <c r="D97" s="2">
        <v>277</v>
      </c>
      <c r="E97" s="2">
        <v>309483</v>
      </c>
      <c r="F97" s="2">
        <v>8.6999999999999993</v>
      </c>
      <c r="G97" s="3">
        <v>38452</v>
      </c>
    </row>
    <row r="98" spans="1:7" x14ac:dyDescent="0.25">
      <c r="A98" s="4">
        <v>45607</v>
      </c>
      <c r="B98" s="2" t="s">
        <v>14</v>
      </c>
      <c r="C98" s="2">
        <v>1487</v>
      </c>
      <c r="D98" s="2">
        <v>337</v>
      </c>
      <c r="E98" s="2">
        <v>87305</v>
      </c>
      <c r="F98" s="2">
        <v>2.46</v>
      </c>
      <c r="G98" s="3">
        <v>30428</v>
      </c>
    </row>
    <row r="99" spans="1:7" x14ac:dyDescent="0.25">
      <c r="A99" s="4">
        <v>45607</v>
      </c>
      <c r="B99" s="2" t="s">
        <v>25</v>
      </c>
      <c r="C99" s="2">
        <v>454</v>
      </c>
      <c r="D99" s="2">
        <v>105</v>
      </c>
      <c r="E99" s="2">
        <v>121091</v>
      </c>
      <c r="F99" s="2">
        <v>7.97</v>
      </c>
      <c r="G99" s="3">
        <v>9269</v>
      </c>
    </row>
    <row r="100" spans="1:7" x14ac:dyDescent="0.25">
      <c r="A100" s="4">
        <v>45614</v>
      </c>
      <c r="B100" s="2" t="s">
        <v>30</v>
      </c>
      <c r="C100" s="2">
        <v>187</v>
      </c>
      <c r="D100" s="2">
        <v>236</v>
      </c>
      <c r="E100" s="2">
        <v>51087</v>
      </c>
      <c r="F100" s="2">
        <v>9.41</v>
      </c>
      <c r="G100" s="3">
        <v>29533</v>
      </c>
    </row>
    <row r="101" spans="1:7" x14ac:dyDescent="0.25">
      <c r="A101" s="4">
        <v>45614</v>
      </c>
      <c r="B101" s="2" t="s">
        <v>38</v>
      </c>
      <c r="C101" s="2">
        <v>513</v>
      </c>
      <c r="D101" s="2">
        <v>441</v>
      </c>
      <c r="E101" s="2">
        <v>338847</v>
      </c>
      <c r="F101" s="2">
        <v>2.68</v>
      </c>
      <c r="G101" s="3">
        <v>39997</v>
      </c>
    </row>
    <row r="102" spans="1:7" x14ac:dyDescent="0.25">
      <c r="A102" s="4">
        <v>45614</v>
      </c>
      <c r="B102" s="2" t="s">
        <v>14</v>
      </c>
      <c r="C102" s="2">
        <v>628</v>
      </c>
      <c r="D102" s="2">
        <v>183</v>
      </c>
      <c r="E102" s="2">
        <v>487523</v>
      </c>
      <c r="F102" s="2">
        <v>7.32</v>
      </c>
      <c r="G102" s="3">
        <v>5391</v>
      </c>
    </row>
    <row r="103" spans="1:7" x14ac:dyDescent="0.25">
      <c r="A103" s="4">
        <v>45614</v>
      </c>
      <c r="B103" s="2" t="s">
        <v>25</v>
      </c>
      <c r="C103" s="2">
        <v>278</v>
      </c>
      <c r="D103" s="2">
        <v>218</v>
      </c>
      <c r="E103" s="2">
        <v>301695</v>
      </c>
      <c r="F103" s="2">
        <v>4.68</v>
      </c>
      <c r="G103" s="3">
        <v>22373</v>
      </c>
    </row>
    <row r="104" spans="1:7" x14ac:dyDescent="0.25">
      <c r="A104" s="4">
        <v>45621</v>
      </c>
      <c r="B104" s="2" t="s">
        <v>30</v>
      </c>
      <c r="C104" s="2">
        <v>1854</v>
      </c>
      <c r="D104" s="2">
        <v>161</v>
      </c>
      <c r="E104" s="2">
        <v>282466</v>
      </c>
      <c r="F104" s="2">
        <v>5.17</v>
      </c>
      <c r="G104" s="3">
        <v>1810</v>
      </c>
    </row>
    <row r="105" spans="1:7" x14ac:dyDescent="0.25">
      <c r="A105" s="4">
        <v>45621</v>
      </c>
      <c r="B105" s="2" t="s">
        <v>38</v>
      </c>
      <c r="C105" s="2">
        <v>1710</v>
      </c>
      <c r="D105" s="2">
        <v>378</v>
      </c>
      <c r="E105" s="2">
        <v>336661</v>
      </c>
      <c r="F105" s="2">
        <v>6.2</v>
      </c>
      <c r="G105" s="3">
        <v>28498</v>
      </c>
    </row>
    <row r="106" spans="1:7" x14ac:dyDescent="0.25">
      <c r="A106" s="4">
        <v>45621</v>
      </c>
      <c r="B106" s="2" t="s">
        <v>14</v>
      </c>
      <c r="C106" s="2">
        <v>330</v>
      </c>
      <c r="D106" s="2">
        <v>232</v>
      </c>
      <c r="E106" s="2">
        <v>88455</v>
      </c>
      <c r="F106" s="2">
        <v>2.69</v>
      </c>
      <c r="G106" s="3">
        <v>39530</v>
      </c>
    </row>
    <row r="107" spans="1:7" x14ac:dyDescent="0.25">
      <c r="A107" s="4">
        <v>45621</v>
      </c>
      <c r="B107" s="2" t="s">
        <v>25</v>
      </c>
      <c r="C107" s="2">
        <v>1293</v>
      </c>
      <c r="D107" s="2">
        <v>408</v>
      </c>
      <c r="E107" s="2">
        <v>62535</v>
      </c>
      <c r="F107" s="2">
        <v>8.9</v>
      </c>
      <c r="G107" s="3">
        <v>37876</v>
      </c>
    </row>
    <row r="108" spans="1:7" x14ac:dyDescent="0.25">
      <c r="A108" s="4">
        <v>45628</v>
      </c>
      <c r="B108" s="2" t="s">
        <v>30</v>
      </c>
      <c r="C108" s="2">
        <v>1696</v>
      </c>
      <c r="D108" s="2">
        <v>71</v>
      </c>
      <c r="E108" s="2">
        <v>421957</v>
      </c>
      <c r="F108" s="2">
        <v>3.79</v>
      </c>
      <c r="G108" s="3">
        <v>36103</v>
      </c>
    </row>
    <row r="109" spans="1:7" x14ac:dyDescent="0.25">
      <c r="A109" s="4">
        <v>45628</v>
      </c>
      <c r="B109" s="2" t="s">
        <v>38</v>
      </c>
      <c r="C109" s="2">
        <v>1902</v>
      </c>
      <c r="D109" s="2">
        <v>196</v>
      </c>
      <c r="E109" s="2">
        <v>470269</v>
      </c>
      <c r="F109" s="2">
        <v>4.79</v>
      </c>
      <c r="G109" s="3">
        <v>26103</v>
      </c>
    </row>
    <row r="110" spans="1:7" x14ac:dyDescent="0.25">
      <c r="A110" s="4">
        <v>45628</v>
      </c>
      <c r="B110" s="2" t="s">
        <v>14</v>
      </c>
      <c r="C110" s="2">
        <v>1441</v>
      </c>
      <c r="D110" s="2">
        <v>268</v>
      </c>
      <c r="E110" s="2">
        <v>309904</v>
      </c>
      <c r="F110" s="2">
        <v>6.37</v>
      </c>
      <c r="G110" s="3">
        <v>3455</v>
      </c>
    </row>
    <row r="111" spans="1:7" x14ac:dyDescent="0.25">
      <c r="A111" s="4">
        <v>45628</v>
      </c>
      <c r="B111" s="2" t="s">
        <v>25</v>
      </c>
      <c r="C111" s="2">
        <v>452</v>
      </c>
      <c r="D111" s="2">
        <v>161</v>
      </c>
      <c r="E111" s="2">
        <v>221274</v>
      </c>
      <c r="F111" s="2">
        <v>2.65</v>
      </c>
      <c r="G111" s="3">
        <v>40888</v>
      </c>
    </row>
    <row r="112" spans="1:7" x14ac:dyDescent="0.25">
      <c r="A112" s="4">
        <v>45635</v>
      </c>
      <c r="B112" s="2" t="s">
        <v>30</v>
      </c>
      <c r="C112" s="2">
        <v>1494</v>
      </c>
      <c r="D112" s="2">
        <v>375</v>
      </c>
      <c r="E112" s="2">
        <v>220616</v>
      </c>
      <c r="F112" s="2">
        <v>1.81</v>
      </c>
      <c r="G112" s="3">
        <v>22724</v>
      </c>
    </row>
    <row r="113" spans="1:7" x14ac:dyDescent="0.25">
      <c r="A113" s="4">
        <v>45635</v>
      </c>
      <c r="B113" s="2" t="s">
        <v>38</v>
      </c>
      <c r="C113" s="2">
        <v>1514</v>
      </c>
      <c r="D113" s="2">
        <v>141</v>
      </c>
      <c r="E113" s="2">
        <v>35842</v>
      </c>
      <c r="F113" s="2">
        <v>7.47</v>
      </c>
      <c r="G113" s="3">
        <v>18601</v>
      </c>
    </row>
    <row r="114" spans="1:7" x14ac:dyDescent="0.25">
      <c r="A114" s="4">
        <v>45635</v>
      </c>
      <c r="B114" s="2" t="s">
        <v>14</v>
      </c>
      <c r="C114" s="2">
        <v>1937</v>
      </c>
      <c r="D114" s="2">
        <v>210</v>
      </c>
      <c r="E114" s="2">
        <v>20607</v>
      </c>
      <c r="F114" s="2">
        <v>4.2</v>
      </c>
      <c r="G114" s="3">
        <v>20861</v>
      </c>
    </row>
    <row r="115" spans="1:7" x14ac:dyDescent="0.25">
      <c r="A115" s="4">
        <v>45635</v>
      </c>
      <c r="B115" s="2" t="s">
        <v>25</v>
      </c>
      <c r="C115" s="2">
        <v>736</v>
      </c>
      <c r="D115" s="2">
        <v>163</v>
      </c>
      <c r="E115" s="2">
        <v>451894</v>
      </c>
      <c r="F115" s="2">
        <v>5.43</v>
      </c>
      <c r="G115" s="3">
        <v>46625</v>
      </c>
    </row>
    <row r="116" spans="1:7" x14ac:dyDescent="0.25">
      <c r="A116" s="4">
        <v>45642</v>
      </c>
      <c r="B116" s="2" t="s">
        <v>30</v>
      </c>
      <c r="C116" s="2">
        <v>1502</v>
      </c>
      <c r="D116" s="2">
        <v>70</v>
      </c>
      <c r="E116" s="2">
        <v>465553</v>
      </c>
      <c r="F116" s="2">
        <v>3.32</v>
      </c>
      <c r="G116" s="3">
        <v>20692</v>
      </c>
    </row>
    <row r="117" spans="1:7" x14ac:dyDescent="0.25">
      <c r="A117" s="4">
        <v>45642</v>
      </c>
      <c r="B117" s="2" t="s">
        <v>38</v>
      </c>
      <c r="C117" s="2">
        <v>1623</v>
      </c>
      <c r="D117" s="2">
        <v>246</v>
      </c>
      <c r="E117" s="2">
        <v>415815</v>
      </c>
      <c r="F117" s="2">
        <v>8.11</v>
      </c>
      <c r="G117" s="3">
        <v>18656</v>
      </c>
    </row>
    <row r="118" spans="1:7" x14ac:dyDescent="0.25">
      <c r="A118" s="4">
        <v>45642</v>
      </c>
      <c r="B118" s="2" t="s">
        <v>14</v>
      </c>
      <c r="C118" s="2">
        <v>1592</v>
      </c>
      <c r="D118" s="2">
        <v>233</v>
      </c>
      <c r="E118" s="2">
        <v>327183</v>
      </c>
      <c r="F118" s="2">
        <v>6.66</v>
      </c>
      <c r="G118" s="3">
        <v>13316</v>
      </c>
    </row>
    <row r="119" spans="1:7" x14ac:dyDescent="0.25">
      <c r="A119" s="4">
        <v>45642</v>
      </c>
      <c r="B119" s="2" t="s">
        <v>25</v>
      </c>
      <c r="C119" s="2">
        <v>1004</v>
      </c>
      <c r="D119" s="2">
        <v>128</v>
      </c>
      <c r="E119" s="2">
        <v>488901</v>
      </c>
      <c r="F119" s="2">
        <v>8.09</v>
      </c>
      <c r="G119" s="3">
        <v>49558</v>
      </c>
    </row>
    <row r="120" spans="1:7" x14ac:dyDescent="0.25">
      <c r="A120" s="4">
        <v>45649</v>
      </c>
      <c r="B120" s="2" t="s">
        <v>30</v>
      </c>
      <c r="C120" s="2">
        <v>1092</v>
      </c>
      <c r="D120" s="2">
        <v>408</v>
      </c>
      <c r="E120" s="2">
        <v>280795</v>
      </c>
      <c r="F120" s="2">
        <v>8.44</v>
      </c>
      <c r="G120" s="3">
        <v>4683</v>
      </c>
    </row>
    <row r="121" spans="1:7" x14ac:dyDescent="0.25">
      <c r="A121" s="4">
        <v>45649</v>
      </c>
      <c r="B121" s="2" t="s">
        <v>38</v>
      </c>
      <c r="C121" s="2">
        <v>1155</v>
      </c>
      <c r="D121" s="2">
        <v>425</v>
      </c>
      <c r="E121" s="2">
        <v>93347</v>
      </c>
      <c r="F121" s="2">
        <v>2.02</v>
      </c>
      <c r="G121" s="3">
        <v>47502</v>
      </c>
    </row>
    <row r="122" spans="1:7" x14ac:dyDescent="0.25">
      <c r="A122" s="4">
        <v>45649</v>
      </c>
      <c r="B122" s="2" t="s">
        <v>14</v>
      </c>
      <c r="C122" s="2">
        <v>1137</v>
      </c>
      <c r="D122" s="2">
        <v>226</v>
      </c>
      <c r="E122" s="2">
        <v>81119</v>
      </c>
      <c r="F122" s="2">
        <v>7.74</v>
      </c>
      <c r="G122" s="3">
        <v>35359</v>
      </c>
    </row>
    <row r="123" spans="1:7" x14ac:dyDescent="0.25">
      <c r="A123" s="4">
        <v>45649</v>
      </c>
      <c r="B123" s="2" t="s">
        <v>25</v>
      </c>
      <c r="C123" s="2">
        <v>1900</v>
      </c>
      <c r="D123" s="2">
        <v>311</v>
      </c>
      <c r="E123" s="2">
        <v>25177</v>
      </c>
      <c r="F123" s="2">
        <v>2.89</v>
      </c>
      <c r="G123" s="3">
        <v>14154</v>
      </c>
    </row>
    <row r="124" spans="1:7" x14ac:dyDescent="0.25">
      <c r="A124" s="4">
        <v>45656</v>
      </c>
      <c r="B124" s="2" t="s">
        <v>30</v>
      </c>
      <c r="C124" s="2">
        <v>1814</v>
      </c>
      <c r="D124" s="2">
        <v>49</v>
      </c>
      <c r="E124" s="2">
        <v>140804</v>
      </c>
      <c r="F124" s="2">
        <v>1.76</v>
      </c>
      <c r="G124" s="3">
        <v>4313</v>
      </c>
    </row>
    <row r="125" spans="1:7" x14ac:dyDescent="0.25">
      <c r="A125" s="4">
        <v>45656</v>
      </c>
      <c r="B125" s="2" t="s">
        <v>38</v>
      </c>
      <c r="C125" s="2">
        <v>1980</v>
      </c>
      <c r="D125" s="2">
        <v>204</v>
      </c>
      <c r="E125" s="2">
        <v>379431</v>
      </c>
      <c r="F125" s="2">
        <v>3.09</v>
      </c>
      <c r="G125" s="3">
        <v>25140</v>
      </c>
    </row>
    <row r="126" spans="1:7" x14ac:dyDescent="0.25">
      <c r="A126" s="4">
        <v>45656</v>
      </c>
      <c r="B126" s="2" t="s">
        <v>14</v>
      </c>
      <c r="C126" s="2">
        <v>1786</v>
      </c>
      <c r="D126" s="2">
        <v>257</v>
      </c>
      <c r="E126" s="2">
        <v>274831</v>
      </c>
      <c r="F126" s="2">
        <v>4.68</v>
      </c>
      <c r="G126" s="3">
        <v>9118</v>
      </c>
    </row>
    <row r="127" spans="1:7" x14ac:dyDescent="0.25">
      <c r="A127" s="4">
        <v>45656</v>
      </c>
      <c r="B127" s="2" t="s">
        <v>25</v>
      </c>
      <c r="C127" s="2">
        <v>1495</v>
      </c>
      <c r="D127" s="2">
        <v>35</v>
      </c>
      <c r="E127" s="2">
        <v>136845</v>
      </c>
      <c r="F127" s="2">
        <v>4.4800000000000004</v>
      </c>
      <c r="G127" s="3">
        <v>39931</v>
      </c>
    </row>
    <row r="128" spans="1:7" x14ac:dyDescent="0.25">
      <c r="A128" s="4">
        <v>45663</v>
      </c>
      <c r="B128" s="2" t="s">
        <v>30</v>
      </c>
      <c r="C128" s="2">
        <v>1013</v>
      </c>
      <c r="D128" s="2">
        <v>110</v>
      </c>
      <c r="E128" s="2">
        <v>466382</v>
      </c>
      <c r="F128" s="2">
        <v>5.3</v>
      </c>
      <c r="G128" s="3">
        <v>37132</v>
      </c>
    </row>
    <row r="129" spans="1:7" x14ac:dyDescent="0.25">
      <c r="A129" s="4">
        <v>45663</v>
      </c>
      <c r="B129" s="2" t="s">
        <v>38</v>
      </c>
      <c r="C129" s="2">
        <v>816</v>
      </c>
      <c r="D129" s="2">
        <v>196</v>
      </c>
      <c r="E129" s="2">
        <v>95728</v>
      </c>
      <c r="F129" s="2">
        <v>8.1999999999999993</v>
      </c>
      <c r="G129" s="3">
        <v>17951</v>
      </c>
    </row>
    <row r="130" spans="1:7" x14ac:dyDescent="0.25">
      <c r="A130" s="4">
        <v>45663</v>
      </c>
      <c r="B130" s="2" t="s">
        <v>14</v>
      </c>
      <c r="C130" s="2">
        <v>1633</v>
      </c>
      <c r="D130" s="2">
        <v>445</v>
      </c>
      <c r="E130" s="2">
        <v>371156</v>
      </c>
      <c r="F130" s="2">
        <v>2.2200000000000002</v>
      </c>
      <c r="G130" s="3">
        <v>2798</v>
      </c>
    </row>
    <row r="131" spans="1:7" x14ac:dyDescent="0.25">
      <c r="A131" s="4">
        <v>45663</v>
      </c>
      <c r="B131" s="2" t="s">
        <v>25</v>
      </c>
      <c r="C131" s="2">
        <v>891</v>
      </c>
      <c r="D131" s="2">
        <v>45</v>
      </c>
      <c r="E131" s="2">
        <v>95410</v>
      </c>
      <c r="F131" s="2">
        <v>8.33</v>
      </c>
      <c r="G131" s="3">
        <v>15045</v>
      </c>
    </row>
    <row r="132" spans="1:7" x14ac:dyDescent="0.25">
      <c r="A132" s="4">
        <v>45670</v>
      </c>
      <c r="B132" s="2" t="s">
        <v>30</v>
      </c>
      <c r="C132" s="2">
        <v>1855</v>
      </c>
      <c r="D132" s="2">
        <v>133</v>
      </c>
      <c r="E132" s="2">
        <v>349413</v>
      </c>
      <c r="F132" s="2">
        <v>3.3</v>
      </c>
      <c r="G132" s="3">
        <v>14548</v>
      </c>
    </row>
    <row r="133" spans="1:7" x14ac:dyDescent="0.25">
      <c r="A133" s="4">
        <v>45670</v>
      </c>
      <c r="B133" s="2" t="s">
        <v>38</v>
      </c>
      <c r="C133" s="2">
        <v>651</v>
      </c>
      <c r="D133" s="2">
        <v>353</v>
      </c>
      <c r="E133" s="2">
        <v>224699</v>
      </c>
      <c r="F133" s="2">
        <v>5.61</v>
      </c>
      <c r="G133" s="3">
        <v>45708</v>
      </c>
    </row>
    <row r="134" spans="1:7" x14ac:dyDescent="0.25">
      <c r="A134" s="4">
        <v>45670</v>
      </c>
      <c r="B134" s="2" t="s">
        <v>14</v>
      </c>
      <c r="C134" s="2">
        <v>118</v>
      </c>
      <c r="D134" s="2">
        <v>262</v>
      </c>
      <c r="E134" s="2">
        <v>487896</v>
      </c>
      <c r="F134" s="2">
        <v>2.56</v>
      </c>
      <c r="G134" s="3">
        <v>12350</v>
      </c>
    </row>
    <row r="135" spans="1:7" x14ac:dyDescent="0.25">
      <c r="A135" s="4">
        <v>45670</v>
      </c>
      <c r="B135" s="2" t="s">
        <v>25</v>
      </c>
      <c r="C135" s="2">
        <v>1331</v>
      </c>
      <c r="D135" s="2">
        <v>430</v>
      </c>
      <c r="E135" s="2">
        <v>14437</v>
      </c>
      <c r="F135" s="2">
        <v>3.29</v>
      </c>
      <c r="G135" s="3">
        <v>40868</v>
      </c>
    </row>
    <row r="136" spans="1:7" x14ac:dyDescent="0.25">
      <c r="A136" s="4">
        <v>45677</v>
      </c>
      <c r="B136" s="2" t="s">
        <v>30</v>
      </c>
      <c r="C136" s="2">
        <v>1748</v>
      </c>
      <c r="D136" s="2">
        <v>176</v>
      </c>
      <c r="E136" s="2">
        <v>383681</v>
      </c>
      <c r="F136" s="2">
        <v>9.24</v>
      </c>
      <c r="G136" s="3">
        <v>43122</v>
      </c>
    </row>
    <row r="137" spans="1:7" x14ac:dyDescent="0.25">
      <c r="A137" s="4">
        <v>45677</v>
      </c>
      <c r="B137" s="2" t="s">
        <v>38</v>
      </c>
      <c r="C137" s="2">
        <v>663</v>
      </c>
      <c r="D137" s="2">
        <v>236</v>
      </c>
      <c r="E137" s="2">
        <v>479490</v>
      </c>
      <c r="F137" s="2">
        <v>4.51</v>
      </c>
      <c r="G137" s="3">
        <v>23853</v>
      </c>
    </row>
    <row r="138" spans="1:7" x14ac:dyDescent="0.25">
      <c r="A138" s="4">
        <v>45677</v>
      </c>
      <c r="B138" s="2" t="s">
        <v>14</v>
      </c>
      <c r="C138" s="2">
        <v>1040</v>
      </c>
      <c r="D138" s="2">
        <v>149</v>
      </c>
      <c r="E138" s="2">
        <v>124404</v>
      </c>
      <c r="F138" s="2">
        <v>5.23</v>
      </c>
      <c r="G138" s="3">
        <v>45380</v>
      </c>
    </row>
    <row r="139" spans="1:7" x14ac:dyDescent="0.25">
      <c r="A139" s="4">
        <v>45677</v>
      </c>
      <c r="B139" s="2" t="s">
        <v>25</v>
      </c>
      <c r="C139" s="2">
        <v>1166</v>
      </c>
      <c r="D139" s="2">
        <v>442</v>
      </c>
      <c r="E139" s="2">
        <v>336949</v>
      </c>
      <c r="F139" s="2">
        <v>4.68</v>
      </c>
      <c r="G139" s="3">
        <v>7705</v>
      </c>
    </row>
    <row r="140" spans="1:7" x14ac:dyDescent="0.25">
      <c r="A140" s="4">
        <v>45684</v>
      </c>
      <c r="B140" s="2" t="s">
        <v>30</v>
      </c>
      <c r="C140" s="2">
        <v>115</v>
      </c>
      <c r="D140" s="2">
        <v>281</v>
      </c>
      <c r="E140" s="2">
        <v>357265</v>
      </c>
      <c r="F140" s="2">
        <v>9.23</v>
      </c>
      <c r="G140" s="3">
        <v>25525</v>
      </c>
    </row>
    <row r="141" spans="1:7" x14ac:dyDescent="0.25">
      <c r="A141" s="4">
        <v>45684</v>
      </c>
      <c r="B141" s="2" t="s">
        <v>38</v>
      </c>
      <c r="C141" s="2">
        <v>1249</v>
      </c>
      <c r="D141" s="2">
        <v>351</v>
      </c>
      <c r="E141" s="2">
        <v>321307</v>
      </c>
      <c r="F141" s="2">
        <v>6.37</v>
      </c>
      <c r="G141" s="3">
        <v>20560</v>
      </c>
    </row>
    <row r="142" spans="1:7" x14ac:dyDescent="0.25">
      <c r="A142" s="4">
        <v>45684</v>
      </c>
      <c r="B142" s="2" t="s">
        <v>14</v>
      </c>
      <c r="C142" s="2">
        <v>1501</v>
      </c>
      <c r="D142" s="2">
        <v>75</v>
      </c>
      <c r="E142" s="2">
        <v>262569</v>
      </c>
      <c r="F142" s="2">
        <v>2.0099999999999998</v>
      </c>
      <c r="G142" s="3">
        <v>19119</v>
      </c>
    </row>
    <row r="143" spans="1:7" x14ac:dyDescent="0.25">
      <c r="A143" s="4">
        <v>45684</v>
      </c>
      <c r="B143" s="2" t="s">
        <v>25</v>
      </c>
      <c r="C143" s="2">
        <v>1411</v>
      </c>
      <c r="D143" s="2">
        <v>186</v>
      </c>
      <c r="E143" s="2">
        <v>461669</v>
      </c>
      <c r="F143" s="2">
        <v>3.72</v>
      </c>
      <c r="G143" s="3">
        <v>43999</v>
      </c>
    </row>
    <row r="144" spans="1:7" x14ac:dyDescent="0.25">
      <c r="A144" s="4">
        <v>45691</v>
      </c>
      <c r="B144" s="2" t="s">
        <v>30</v>
      </c>
      <c r="C144" s="2">
        <v>1556</v>
      </c>
      <c r="D144" s="2">
        <v>476</v>
      </c>
      <c r="E144" s="2">
        <v>351556</v>
      </c>
      <c r="F144" s="2">
        <v>3.89</v>
      </c>
      <c r="G144" s="3">
        <v>10825</v>
      </c>
    </row>
    <row r="145" spans="1:7" x14ac:dyDescent="0.25">
      <c r="A145" s="4">
        <v>45691</v>
      </c>
      <c r="B145" s="2" t="s">
        <v>38</v>
      </c>
      <c r="C145" s="2">
        <v>1159</v>
      </c>
      <c r="D145" s="2">
        <v>411</v>
      </c>
      <c r="E145" s="2">
        <v>135987</v>
      </c>
      <c r="F145" s="2">
        <v>8.6999999999999993</v>
      </c>
      <c r="G145" s="3">
        <v>40323</v>
      </c>
    </row>
    <row r="146" spans="1:7" x14ac:dyDescent="0.25">
      <c r="A146" s="4">
        <v>45691</v>
      </c>
      <c r="B146" s="2" t="s">
        <v>14</v>
      </c>
      <c r="C146" s="2">
        <v>927</v>
      </c>
      <c r="D146" s="2">
        <v>358</v>
      </c>
      <c r="E146" s="2">
        <v>177554</v>
      </c>
      <c r="F146" s="2">
        <v>6.95</v>
      </c>
      <c r="G146" s="3">
        <v>48270</v>
      </c>
    </row>
    <row r="147" spans="1:7" x14ac:dyDescent="0.25">
      <c r="A147" s="4">
        <v>45691</v>
      </c>
      <c r="B147" s="2" t="s">
        <v>25</v>
      </c>
      <c r="C147" s="2">
        <v>152</v>
      </c>
      <c r="D147" s="2">
        <v>355</v>
      </c>
      <c r="E147" s="2">
        <v>270766</v>
      </c>
      <c r="F147" s="2">
        <v>9.48</v>
      </c>
      <c r="G147" s="3">
        <v>18001</v>
      </c>
    </row>
    <row r="148" spans="1:7" x14ac:dyDescent="0.25">
      <c r="A148" s="4">
        <v>45698</v>
      </c>
      <c r="B148" s="2" t="s">
        <v>30</v>
      </c>
      <c r="C148" s="2">
        <v>1957</v>
      </c>
      <c r="D148" s="2">
        <v>234</v>
      </c>
      <c r="E148" s="2">
        <v>222126</v>
      </c>
      <c r="F148" s="2">
        <v>4.6100000000000003</v>
      </c>
      <c r="G148" s="3">
        <v>3314</v>
      </c>
    </row>
    <row r="149" spans="1:7" x14ac:dyDescent="0.25">
      <c r="A149" s="4">
        <v>45698</v>
      </c>
      <c r="B149" s="2" t="s">
        <v>38</v>
      </c>
      <c r="C149" s="2">
        <v>1294</v>
      </c>
      <c r="D149" s="2">
        <v>382</v>
      </c>
      <c r="E149" s="2">
        <v>309914</v>
      </c>
      <c r="F149" s="2">
        <v>8.0299999999999994</v>
      </c>
      <c r="G149" s="3">
        <v>23489</v>
      </c>
    </row>
    <row r="150" spans="1:7" x14ac:dyDescent="0.25">
      <c r="A150" s="4">
        <v>45698</v>
      </c>
      <c r="B150" s="2" t="s">
        <v>14</v>
      </c>
      <c r="C150" s="2">
        <v>1587</v>
      </c>
      <c r="D150" s="2">
        <v>385</v>
      </c>
      <c r="E150" s="2">
        <v>126582</v>
      </c>
      <c r="F150" s="2">
        <v>6.99</v>
      </c>
      <c r="G150" s="3">
        <v>42832</v>
      </c>
    </row>
    <row r="151" spans="1:7" x14ac:dyDescent="0.25">
      <c r="A151" s="4">
        <v>45698</v>
      </c>
      <c r="B151" s="2" t="s">
        <v>25</v>
      </c>
      <c r="C151" s="2">
        <v>1707</v>
      </c>
      <c r="D151" s="2">
        <v>263</v>
      </c>
      <c r="E151" s="2">
        <v>485280</v>
      </c>
      <c r="F151" s="2">
        <v>9.0299999999999994</v>
      </c>
      <c r="G151" s="3">
        <v>24494</v>
      </c>
    </row>
    <row r="152" spans="1:7" x14ac:dyDescent="0.25">
      <c r="A152" s="4">
        <v>45705</v>
      </c>
      <c r="B152" s="2" t="s">
        <v>30</v>
      </c>
      <c r="C152" s="2">
        <v>1138</v>
      </c>
      <c r="D152" s="2">
        <v>173</v>
      </c>
      <c r="E152" s="2">
        <v>453243</v>
      </c>
      <c r="F152" s="2">
        <v>2.86</v>
      </c>
      <c r="G152" s="3">
        <v>44097</v>
      </c>
    </row>
    <row r="153" spans="1:7" x14ac:dyDescent="0.25">
      <c r="A153" s="4">
        <v>45705</v>
      </c>
      <c r="B153" s="2" t="s">
        <v>38</v>
      </c>
      <c r="C153" s="2">
        <v>1895</v>
      </c>
      <c r="D153" s="2">
        <v>305</v>
      </c>
      <c r="E153" s="2">
        <v>104967</v>
      </c>
      <c r="F153" s="2">
        <v>3.85</v>
      </c>
      <c r="G153" s="3">
        <v>31853</v>
      </c>
    </row>
    <row r="154" spans="1:7" x14ac:dyDescent="0.25">
      <c r="A154" s="4">
        <v>45705</v>
      </c>
      <c r="B154" s="2" t="s">
        <v>14</v>
      </c>
      <c r="C154" s="2">
        <v>362</v>
      </c>
      <c r="D154" s="2">
        <v>399</v>
      </c>
      <c r="E154" s="2">
        <v>145608</v>
      </c>
      <c r="F154" s="2">
        <v>7.3</v>
      </c>
      <c r="G154" s="3">
        <v>37636</v>
      </c>
    </row>
    <row r="155" spans="1:7" x14ac:dyDescent="0.25">
      <c r="A155" s="4">
        <v>45705</v>
      </c>
      <c r="B155" s="2" t="s">
        <v>25</v>
      </c>
      <c r="C155" s="2">
        <v>1662</v>
      </c>
      <c r="D155" s="2">
        <v>487</v>
      </c>
      <c r="E155" s="2">
        <v>105980</v>
      </c>
      <c r="F155" s="2">
        <v>9.08</v>
      </c>
      <c r="G155" s="3">
        <v>22996</v>
      </c>
    </row>
    <row r="156" spans="1:7" x14ac:dyDescent="0.25">
      <c r="A156" s="4">
        <v>45712</v>
      </c>
      <c r="B156" s="2" t="s">
        <v>30</v>
      </c>
      <c r="C156" s="2">
        <v>1440</v>
      </c>
      <c r="D156" s="2">
        <v>65</v>
      </c>
      <c r="E156" s="2">
        <v>126524</v>
      </c>
      <c r="F156" s="2">
        <v>4.34</v>
      </c>
      <c r="G156" s="3">
        <v>49772</v>
      </c>
    </row>
    <row r="157" spans="1:7" x14ac:dyDescent="0.25">
      <c r="A157" s="4">
        <v>45712</v>
      </c>
      <c r="B157" s="2" t="s">
        <v>38</v>
      </c>
      <c r="C157" s="2">
        <v>1884</v>
      </c>
      <c r="D157" s="2">
        <v>177</v>
      </c>
      <c r="E157" s="2">
        <v>230448</v>
      </c>
      <c r="F157" s="2">
        <v>7.8</v>
      </c>
      <c r="G157" s="3">
        <v>22713</v>
      </c>
    </row>
    <row r="158" spans="1:7" x14ac:dyDescent="0.25">
      <c r="A158" s="4">
        <v>45712</v>
      </c>
      <c r="B158" s="2" t="s">
        <v>14</v>
      </c>
      <c r="C158" s="2">
        <v>861</v>
      </c>
      <c r="D158" s="2">
        <v>153</v>
      </c>
      <c r="E158" s="2">
        <v>317007</v>
      </c>
      <c r="F158" s="2">
        <v>3.85</v>
      </c>
      <c r="G158" s="3">
        <v>8718</v>
      </c>
    </row>
    <row r="159" spans="1:7" x14ac:dyDescent="0.25">
      <c r="A159" s="4">
        <v>45712</v>
      </c>
      <c r="B159" s="2" t="s">
        <v>25</v>
      </c>
      <c r="C159" s="2">
        <v>1063</v>
      </c>
      <c r="D159" s="2">
        <v>47</v>
      </c>
      <c r="E159" s="2">
        <v>464239</v>
      </c>
      <c r="F159" s="2">
        <v>6.58</v>
      </c>
      <c r="G159" s="3">
        <v>39031</v>
      </c>
    </row>
    <row r="160" spans="1:7" x14ac:dyDescent="0.25">
      <c r="A160" s="4">
        <v>45719</v>
      </c>
      <c r="B160" s="2" t="s">
        <v>30</v>
      </c>
      <c r="C160" s="2">
        <v>1371</v>
      </c>
      <c r="D160" s="2">
        <v>56</v>
      </c>
      <c r="E160" s="2">
        <v>257579</v>
      </c>
      <c r="F160" s="2">
        <v>8.6199999999999992</v>
      </c>
      <c r="G160" s="3">
        <v>33799</v>
      </c>
    </row>
    <row r="161" spans="1:7" x14ac:dyDescent="0.25">
      <c r="A161" s="4">
        <v>45719</v>
      </c>
      <c r="B161" s="2" t="s">
        <v>38</v>
      </c>
      <c r="C161" s="2">
        <v>345</v>
      </c>
      <c r="D161" s="2">
        <v>464</v>
      </c>
      <c r="E161" s="2">
        <v>366881</v>
      </c>
      <c r="F161" s="2">
        <v>4.55</v>
      </c>
      <c r="G161" s="3">
        <v>20553</v>
      </c>
    </row>
    <row r="162" spans="1:7" x14ac:dyDescent="0.25">
      <c r="A162" s="4">
        <v>45719</v>
      </c>
      <c r="B162" s="2" t="s">
        <v>14</v>
      </c>
      <c r="C162" s="2">
        <v>946</v>
      </c>
      <c r="D162" s="2">
        <v>47</v>
      </c>
      <c r="E162" s="2">
        <v>466575</v>
      </c>
      <c r="F162" s="2">
        <v>8.33</v>
      </c>
      <c r="G162" s="3">
        <v>10002</v>
      </c>
    </row>
    <row r="163" spans="1:7" x14ac:dyDescent="0.25">
      <c r="A163" s="4">
        <v>45719</v>
      </c>
      <c r="B163" s="2" t="s">
        <v>25</v>
      </c>
      <c r="C163" s="2">
        <v>510</v>
      </c>
      <c r="D163" s="2">
        <v>195</v>
      </c>
      <c r="E163" s="2">
        <v>224534</v>
      </c>
      <c r="F163" s="2">
        <v>9.4</v>
      </c>
      <c r="G163" s="3">
        <v>30987</v>
      </c>
    </row>
    <row r="164" spans="1:7" x14ac:dyDescent="0.25">
      <c r="A164" s="4">
        <v>45726</v>
      </c>
      <c r="B164" s="2" t="s">
        <v>30</v>
      </c>
      <c r="C164" s="2">
        <v>393</v>
      </c>
      <c r="D164" s="2">
        <v>181</v>
      </c>
      <c r="E164" s="2">
        <v>462142</v>
      </c>
      <c r="F164" s="2">
        <v>7.23</v>
      </c>
      <c r="G164" s="3">
        <v>6296</v>
      </c>
    </row>
    <row r="165" spans="1:7" x14ac:dyDescent="0.25">
      <c r="A165" s="4">
        <v>45726</v>
      </c>
      <c r="B165" s="2" t="s">
        <v>38</v>
      </c>
      <c r="C165" s="2">
        <v>1098</v>
      </c>
      <c r="D165" s="2">
        <v>190</v>
      </c>
      <c r="E165" s="2">
        <v>340842</v>
      </c>
      <c r="F165" s="2">
        <v>9.39</v>
      </c>
      <c r="G165" s="3">
        <v>21539</v>
      </c>
    </row>
    <row r="166" spans="1:7" x14ac:dyDescent="0.25">
      <c r="A166" s="4">
        <v>45726</v>
      </c>
      <c r="B166" s="2" t="s">
        <v>14</v>
      </c>
      <c r="C166" s="2">
        <v>1399</v>
      </c>
      <c r="D166" s="2">
        <v>49</v>
      </c>
      <c r="E166" s="2">
        <v>12471</v>
      </c>
      <c r="F166" s="2">
        <v>5.12</v>
      </c>
      <c r="G166" s="3">
        <v>14722</v>
      </c>
    </row>
    <row r="167" spans="1:7" x14ac:dyDescent="0.25">
      <c r="A167" s="4">
        <v>45726</v>
      </c>
      <c r="B167" s="2" t="s">
        <v>25</v>
      </c>
      <c r="C167" s="2">
        <v>1658</v>
      </c>
      <c r="D167" s="2">
        <v>416</v>
      </c>
      <c r="E167" s="2">
        <v>98397</v>
      </c>
      <c r="F167" s="2">
        <v>6.11</v>
      </c>
      <c r="G167" s="3">
        <v>11383</v>
      </c>
    </row>
    <row r="168" spans="1:7" x14ac:dyDescent="0.25">
      <c r="A168" s="4">
        <v>45733</v>
      </c>
      <c r="B168" s="2" t="s">
        <v>30</v>
      </c>
      <c r="C168" s="2">
        <v>1102</v>
      </c>
      <c r="D168" s="2">
        <v>422</v>
      </c>
      <c r="E168" s="2">
        <v>410330</v>
      </c>
      <c r="F168" s="2">
        <v>7.74</v>
      </c>
      <c r="G168" s="3">
        <v>9480</v>
      </c>
    </row>
    <row r="169" spans="1:7" x14ac:dyDescent="0.25">
      <c r="A169" s="4">
        <v>45733</v>
      </c>
      <c r="B169" s="2" t="s">
        <v>38</v>
      </c>
      <c r="C169" s="2">
        <v>1358</v>
      </c>
      <c r="D169" s="2">
        <v>242</v>
      </c>
      <c r="E169" s="2">
        <v>342129</v>
      </c>
      <c r="F169" s="2">
        <v>4.9400000000000004</v>
      </c>
      <c r="G169" s="3">
        <v>29116</v>
      </c>
    </row>
    <row r="170" spans="1:7" x14ac:dyDescent="0.25">
      <c r="A170" s="4">
        <v>45733</v>
      </c>
      <c r="B170" s="2" t="s">
        <v>14</v>
      </c>
      <c r="C170" s="2">
        <v>1077</v>
      </c>
      <c r="D170" s="2">
        <v>216</v>
      </c>
      <c r="E170" s="2">
        <v>12447</v>
      </c>
      <c r="F170" s="2">
        <v>1.8</v>
      </c>
      <c r="G170" s="3">
        <v>14068</v>
      </c>
    </row>
    <row r="171" spans="1:7" x14ac:dyDescent="0.25">
      <c r="A171" s="4">
        <v>45733</v>
      </c>
      <c r="B171" s="2" t="s">
        <v>25</v>
      </c>
      <c r="C171" s="2">
        <v>1596</v>
      </c>
      <c r="D171" s="2">
        <v>211</v>
      </c>
      <c r="E171" s="2">
        <v>17380</v>
      </c>
      <c r="F171" s="2">
        <v>8.64</v>
      </c>
      <c r="G171" s="3">
        <v>35801</v>
      </c>
    </row>
    <row r="172" spans="1:7" x14ac:dyDescent="0.25">
      <c r="A172" s="4">
        <v>45740</v>
      </c>
      <c r="B172" s="2" t="s">
        <v>30</v>
      </c>
      <c r="C172" s="2">
        <v>490</v>
      </c>
      <c r="D172" s="2">
        <v>29</v>
      </c>
      <c r="E172" s="2">
        <v>364810</v>
      </c>
      <c r="F172" s="2">
        <v>1.53</v>
      </c>
      <c r="G172" s="3">
        <v>49077</v>
      </c>
    </row>
    <row r="173" spans="1:7" x14ac:dyDescent="0.25">
      <c r="A173" s="4">
        <v>45740</v>
      </c>
      <c r="B173" s="2" t="s">
        <v>38</v>
      </c>
      <c r="C173" s="2">
        <v>609</v>
      </c>
      <c r="D173" s="2">
        <v>135</v>
      </c>
      <c r="E173" s="2">
        <v>373606</v>
      </c>
      <c r="F173" s="2">
        <v>8.52</v>
      </c>
      <c r="G173" s="3">
        <v>21453</v>
      </c>
    </row>
    <row r="174" spans="1:7" x14ac:dyDescent="0.25">
      <c r="A174" s="4">
        <v>45740</v>
      </c>
      <c r="B174" s="2" t="s">
        <v>14</v>
      </c>
      <c r="C174" s="2">
        <v>364</v>
      </c>
      <c r="D174" s="2">
        <v>72</v>
      </c>
      <c r="E174" s="2">
        <v>211090</v>
      </c>
      <c r="F174" s="2">
        <v>5.53</v>
      </c>
      <c r="G174" s="3">
        <v>21061</v>
      </c>
    </row>
    <row r="175" spans="1:7" x14ac:dyDescent="0.25">
      <c r="A175" s="4">
        <v>45740</v>
      </c>
      <c r="B175" s="2" t="s">
        <v>25</v>
      </c>
      <c r="C175" s="2">
        <v>442</v>
      </c>
      <c r="D175" s="2">
        <v>53</v>
      </c>
      <c r="E175" s="2">
        <v>441931</v>
      </c>
      <c r="F175" s="2">
        <v>1.87</v>
      </c>
      <c r="G175" s="3">
        <v>20059</v>
      </c>
    </row>
    <row r="176" spans="1:7" x14ac:dyDescent="0.25">
      <c r="A176" s="4">
        <v>45747</v>
      </c>
      <c r="B176" s="2" t="s">
        <v>30</v>
      </c>
      <c r="C176" s="2">
        <v>1033</v>
      </c>
      <c r="D176" s="2">
        <v>392</v>
      </c>
      <c r="E176" s="2">
        <v>282780</v>
      </c>
      <c r="F176" s="2">
        <v>6.27</v>
      </c>
      <c r="G176" s="3">
        <v>23140</v>
      </c>
    </row>
    <row r="177" spans="1:7" x14ac:dyDescent="0.25">
      <c r="A177" s="4">
        <v>45747</v>
      </c>
      <c r="B177" s="2" t="s">
        <v>38</v>
      </c>
      <c r="C177" s="2">
        <v>988</v>
      </c>
      <c r="D177" s="2">
        <v>474</v>
      </c>
      <c r="E177" s="2">
        <v>370070</v>
      </c>
      <c r="F177" s="2">
        <v>9.4600000000000009</v>
      </c>
      <c r="G177" s="3">
        <v>23461</v>
      </c>
    </row>
    <row r="178" spans="1:7" x14ac:dyDescent="0.25">
      <c r="A178" s="4">
        <v>45747</v>
      </c>
      <c r="B178" s="2" t="s">
        <v>14</v>
      </c>
      <c r="C178" s="2">
        <v>1946</v>
      </c>
      <c r="D178" s="2">
        <v>270</v>
      </c>
      <c r="E178" s="2">
        <v>198350</v>
      </c>
      <c r="F178" s="2">
        <v>7.5</v>
      </c>
      <c r="G178" s="3">
        <v>11805</v>
      </c>
    </row>
    <row r="179" spans="1:7" x14ac:dyDescent="0.25">
      <c r="A179" s="4">
        <v>45747</v>
      </c>
      <c r="B179" s="2" t="s">
        <v>25</v>
      </c>
      <c r="C179" s="2">
        <v>1957</v>
      </c>
      <c r="D179" s="2">
        <v>490</v>
      </c>
      <c r="E179" s="2">
        <v>435726</v>
      </c>
      <c r="F179" s="2">
        <v>4.7300000000000004</v>
      </c>
      <c r="G179" s="3">
        <v>15969</v>
      </c>
    </row>
    <row r="180" spans="1:7" x14ac:dyDescent="0.25">
      <c r="A180" s="4">
        <v>45754</v>
      </c>
      <c r="B180" s="2" t="s">
        <v>30</v>
      </c>
      <c r="C180" s="2">
        <v>559</v>
      </c>
      <c r="D180" s="2">
        <v>392</v>
      </c>
      <c r="E180" s="2">
        <v>78789</v>
      </c>
      <c r="F180" s="2">
        <v>3.19</v>
      </c>
      <c r="G180" s="3">
        <v>2436</v>
      </c>
    </row>
    <row r="181" spans="1:7" x14ac:dyDescent="0.25">
      <c r="A181" s="4">
        <v>45754</v>
      </c>
      <c r="B181" s="2" t="s">
        <v>38</v>
      </c>
      <c r="C181" s="2">
        <v>1307</v>
      </c>
      <c r="D181" s="2">
        <v>278</v>
      </c>
      <c r="E181" s="2">
        <v>98596</v>
      </c>
      <c r="F181" s="2">
        <v>2.4900000000000002</v>
      </c>
      <c r="G181" s="3">
        <v>47603</v>
      </c>
    </row>
    <row r="182" spans="1:7" x14ac:dyDescent="0.25">
      <c r="A182" s="4">
        <v>45754</v>
      </c>
      <c r="B182" s="2" t="s">
        <v>14</v>
      </c>
      <c r="C182" s="2">
        <v>1432</v>
      </c>
      <c r="D182" s="2">
        <v>425</v>
      </c>
      <c r="E182" s="2">
        <v>29589</v>
      </c>
      <c r="F182" s="2">
        <v>4.5</v>
      </c>
      <c r="G182" s="3">
        <v>42964</v>
      </c>
    </row>
    <row r="183" spans="1:7" x14ac:dyDescent="0.25">
      <c r="A183" s="4">
        <v>45754</v>
      </c>
      <c r="B183" s="2" t="s">
        <v>25</v>
      </c>
      <c r="C183" s="2">
        <v>623</v>
      </c>
      <c r="D183" s="2">
        <v>414</v>
      </c>
      <c r="E183" s="2">
        <v>290354</v>
      </c>
      <c r="F183" s="2">
        <v>6.49</v>
      </c>
      <c r="G183" s="3">
        <v>39923</v>
      </c>
    </row>
    <row r="184" spans="1:7" x14ac:dyDescent="0.25">
      <c r="A184" s="4">
        <v>45761</v>
      </c>
      <c r="B184" s="2" t="s">
        <v>30</v>
      </c>
      <c r="C184" s="2">
        <v>198</v>
      </c>
      <c r="D184" s="2">
        <v>358</v>
      </c>
      <c r="E184" s="2">
        <v>66682</v>
      </c>
      <c r="F184" s="2">
        <v>6.73</v>
      </c>
      <c r="G184" s="3">
        <v>2293</v>
      </c>
    </row>
    <row r="185" spans="1:7" x14ac:dyDescent="0.25">
      <c r="A185" s="4">
        <v>45761</v>
      </c>
      <c r="B185" s="2" t="s">
        <v>38</v>
      </c>
      <c r="C185" s="2">
        <v>198</v>
      </c>
      <c r="D185" s="2">
        <v>373</v>
      </c>
      <c r="E185" s="2">
        <v>70707</v>
      </c>
      <c r="F185" s="2">
        <v>4.83</v>
      </c>
      <c r="G185" s="3">
        <v>25920</v>
      </c>
    </row>
    <row r="186" spans="1:7" x14ac:dyDescent="0.25">
      <c r="A186" s="4">
        <v>45761</v>
      </c>
      <c r="B186" s="2" t="s">
        <v>14</v>
      </c>
      <c r="C186" s="2">
        <v>353</v>
      </c>
      <c r="D186" s="2">
        <v>300</v>
      </c>
      <c r="E186" s="2">
        <v>142507</v>
      </c>
      <c r="F186" s="2">
        <v>5.3</v>
      </c>
      <c r="G186" s="3">
        <v>11035</v>
      </c>
    </row>
    <row r="187" spans="1:7" x14ac:dyDescent="0.25">
      <c r="A187" s="4">
        <v>45761</v>
      </c>
      <c r="B187" s="2" t="s">
        <v>25</v>
      </c>
      <c r="C187" s="2">
        <v>520</v>
      </c>
      <c r="D187" s="2">
        <v>375</v>
      </c>
      <c r="E187" s="2">
        <v>369525</v>
      </c>
      <c r="F187" s="2">
        <v>6.54</v>
      </c>
      <c r="G187" s="3">
        <v>20733</v>
      </c>
    </row>
    <row r="188" spans="1:7" x14ac:dyDescent="0.25">
      <c r="A188" s="4">
        <v>45768</v>
      </c>
      <c r="B188" s="2" t="s">
        <v>30</v>
      </c>
      <c r="C188" s="2">
        <v>961</v>
      </c>
      <c r="D188" s="2">
        <v>358</v>
      </c>
      <c r="E188" s="2">
        <v>62942</v>
      </c>
      <c r="F188" s="2">
        <v>6.8</v>
      </c>
      <c r="G188" s="3">
        <v>18693</v>
      </c>
    </row>
    <row r="189" spans="1:7" x14ac:dyDescent="0.25">
      <c r="A189" s="4">
        <v>45768</v>
      </c>
      <c r="B189" s="2" t="s">
        <v>38</v>
      </c>
      <c r="C189" s="2">
        <v>1375</v>
      </c>
      <c r="D189" s="2">
        <v>330</v>
      </c>
      <c r="E189" s="2">
        <v>377382</v>
      </c>
      <c r="F189" s="2">
        <v>2.6</v>
      </c>
      <c r="G189" s="3">
        <v>7875</v>
      </c>
    </row>
    <row r="190" spans="1:7" x14ac:dyDescent="0.25">
      <c r="A190" s="4">
        <v>45768</v>
      </c>
      <c r="B190" s="2" t="s">
        <v>14</v>
      </c>
      <c r="C190" s="2">
        <v>1147</v>
      </c>
      <c r="D190" s="2">
        <v>388</v>
      </c>
      <c r="E190" s="2">
        <v>333851</v>
      </c>
      <c r="F190" s="2">
        <v>2.44</v>
      </c>
      <c r="G190" s="3">
        <v>8471</v>
      </c>
    </row>
    <row r="191" spans="1:7" x14ac:dyDescent="0.25">
      <c r="A191" s="4">
        <v>45768</v>
      </c>
      <c r="B191" s="2" t="s">
        <v>25</v>
      </c>
      <c r="C191" s="2">
        <v>1707</v>
      </c>
      <c r="D191" s="2">
        <v>74</v>
      </c>
      <c r="E191" s="2">
        <v>270958</v>
      </c>
      <c r="F191" s="2">
        <v>3.09</v>
      </c>
      <c r="G191" s="3">
        <v>14090</v>
      </c>
    </row>
    <row r="192" spans="1:7" x14ac:dyDescent="0.25">
      <c r="A192" s="4">
        <v>45775</v>
      </c>
      <c r="B192" s="2" t="s">
        <v>30</v>
      </c>
      <c r="C192" s="2">
        <v>1693</v>
      </c>
      <c r="D192" s="2">
        <v>154</v>
      </c>
      <c r="E192" s="2">
        <v>445944</v>
      </c>
      <c r="F192" s="2">
        <v>5.69</v>
      </c>
      <c r="G192" s="3">
        <v>14216</v>
      </c>
    </row>
    <row r="193" spans="1:7" x14ac:dyDescent="0.25">
      <c r="A193" s="4">
        <v>45775</v>
      </c>
      <c r="B193" s="2" t="s">
        <v>38</v>
      </c>
      <c r="C193" s="2">
        <v>833</v>
      </c>
      <c r="D193" s="2">
        <v>380</v>
      </c>
      <c r="E193" s="2">
        <v>224830</v>
      </c>
      <c r="F193" s="2">
        <v>3.86</v>
      </c>
      <c r="G193" s="3">
        <v>3582</v>
      </c>
    </row>
    <row r="194" spans="1:7" x14ac:dyDescent="0.25">
      <c r="A194" s="4">
        <v>45775</v>
      </c>
      <c r="B194" s="2" t="s">
        <v>14</v>
      </c>
      <c r="C194" s="2">
        <v>1222</v>
      </c>
      <c r="D194" s="2">
        <v>274</v>
      </c>
      <c r="E194" s="2">
        <v>487289</v>
      </c>
      <c r="F194" s="2">
        <v>3.16</v>
      </c>
      <c r="G194" s="3">
        <v>32500</v>
      </c>
    </row>
    <row r="195" spans="1:7" x14ac:dyDescent="0.25">
      <c r="A195" s="4">
        <v>45775</v>
      </c>
      <c r="B195" s="2" t="s">
        <v>25</v>
      </c>
      <c r="C195" s="2">
        <v>777</v>
      </c>
      <c r="D195" s="2">
        <v>140</v>
      </c>
      <c r="E195" s="2">
        <v>11435</v>
      </c>
      <c r="F195" s="2">
        <v>1.6</v>
      </c>
      <c r="G195" s="3">
        <v>6832</v>
      </c>
    </row>
    <row r="196" spans="1:7" x14ac:dyDescent="0.25">
      <c r="A196" s="4">
        <v>45782</v>
      </c>
      <c r="B196" s="2" t="s">
        <v>30</v>
      </c>
      <c r="C196" s="2">
        <v>1957</v>
      </c>
      <c r="D196" s="2">
        <v>76</v>
      </c>
      <c r="E196" s="2">
        <v>447902</v>
      </c>
      <c r="F196" s="2">
        <v>6.09</v>
      </c>
      <c r="G196" s="3">
        <v>33381</v>
      </c>
    </row>
    <row r="197" spans="1:7" x14ac:dyDescent="0.25">
      <c r="A197" s="4">
        <v>45782</v>
      </c>
      <c r="B197" s="2" t="s">
        <v>38</v>
      </c>
      <c r="C197" s="2">
        <v>405</v>
      </c>
      <c r="D197" s="2">
        <v>66</v>
      </c>
      <c r="E197" s="2">
        <v>418696</v>
      </c>
      <c r="F197" s="2">
        <v>5.59</v>
      </c>
      <c r="G197" s="3">
        <v>48419</v>
      </c>
    </row>
    <row r="198" spans="1:7" x14ac:dyDescent="0.25">
      <c r="A198" s="4">
        <v>45782</v>
      </c>
      <c r="B198" s="2" t="s">
        <v>14</v>
      </c>
      <c r="C198" s="2">
        <v>1581</v>
      </c>
      <c r="D198" s="2">
        <v>71</v>
      </c>
      <c r="E198" s="2">
        <v>484364</v>
      </c>
      <c r="F198" s="2">
        <v>3.55</v>
      </c>
      <c r="G198" s="3">
        <v>16149</v>
      </c>
    </row>
    <row r="199" spans="1:7" x14ac:dyDescent="0.25">
      <c r="A199" s="4">
        <v>45782</v>
      </c>
      <c r="B199" s="2" t="s">
        <v>25</v>
      </c>
      <c r="C199" s="2">
        <v>1035</v>
      </c>
      <c r="D199" s="2">
        <v>171</v>
      </c>
      <c r="E199" s="2">
        <v>148477</v>
      </c>
      <c r="F199" s="2">
        <v>5.21</v>
      </c>
      <c r="G199" s="3">
        <v>7541</v>
      </c>
    </row>
    <row r="200" spans="1:7" x14ac:dyDescent="0.25">
      <c r="A200" s="4">
        <v>45789</v>
      </c>
      <c r="B200" s="2" t="s">
        <v>30</v>
      </c>
      <c r="C200" s="2">
        <v>1765</v>
      </c>
      <c r="D200" s="2">
        <v>109</v>
      </c>
      <c r="E200" s="2">
        <v>468301</v>
      </c>
      <c r="F200" s="2">
        <v>1.82</v>
      </c>
      <c r="G200" s="3">
        <v>20042</v>
      </c>
    </row>
    <row r="201" spans="1:7" x14ac:dyDescent="0.25">
      <c r="A201" s="4">
        <v>45789</v>
      </c>
      <c r="B201" s="2" t="s">
        <v>38</v>
      </c>
      <c r="C201" s="2">
        <v>837</v>
      </c>
      <c r="D201" s="2">
        <v>430</v>
      </c>
      <c r="E201" s="2">
        <v>364820</v>
      </c>
      <c r="F201" s="2">
        <v>4</v>
      </c>
      <c r="G201" s="3">
        <v>49400</v>
      </c>
    </row>
    <row r="202" spans="1:7" x14ac:dyDescent="0.25">
      <c r="A202" s="4">
        <v>45789</v>
      </c>
      <c r="B202" s="2" t="s">
        <v>14</v>
      </c>
      <c r="C202" s="2">
        <v>337</v>
      </c>
      <c r="D202" s="2">
        <v>68</v>
      </c>
      <c r="E202" s="2">
        <v>456298</v>
      </c>
      <c r="F202" s="2">
        <v>7.57</v>
      </c>
      <c r="G202" s="3">
        <v>4007</v>
      </c>
    </row>
    <row r="203" spans="1:7" x14ac:dyDescent="0.25">
      <c r="A203" s="4">
        <v>45789</v>
      </c>
      <c r="B203" s="2" t="s">
        <v>25</v>
      </c>
      <c r="C203" s="2">
        <v>119</v>
      </c>
      <c r="D203" s="2">
        <v>456</v>
      </c>
      <c r="E203" s="2">
        <v>82558</v>
      </c>
      <c r="F203" s="2">
        <v>6.81</v>
      </c>
      <c r="G203" s="3">
        <v>12174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C74B-09B0-4022-843B-96A7F2419CCD}">
  <dimension ref="A1:N340"/>
  <sheetViews>
    <sheetView topLeftCell="C1" workbookViewId="0">
      <selection activeCell="C2" sqref="C2"/>
    </sheetView>
  </sheetViews>
  <sheetFormatPr defaultRowHeight="15" x14ac:dyDescent="0.25"/>
  <cols>
    <col min="1" max="1" width="9.7109375" bestFit="1" customWidth="1"/>
    <col min="2" max="2" width="11" bestFit="1" customWidth="1"/>
    <col min="3" max="3" width="10.42578125" bestFit="1" customWidth="1"/>
    <col min="4" max="4" width="15.5703125" bestFit="1" customWidth="1"/>
    <col min="5" max="5" width="40.28515625" bestFit="1" customWidth="1"/>
    <col min="6" max="6" width="8" bestFit="1" customWidth="1"/>
    <col min="7" max="7" width="9.42578125" bestFit="1" customWidth="1"/>
    <col min="8" max="8" width="13.28515625" bestFit="1" customWidth="1"/>
    <col min="9" max="9" width="14.42578125" bestFit="1" customWidth="1"/>
    <col min="10" max="11" width="8.85546875" bestFit="1" customWidth="1"/>
    <col min="12" max="12" width="21.7109375" bestFit="1" customWidth="1"/>
    <col min="13" max="13" width="18.5703125" bestFit="1" customWidth="1"/>
    <col min="14" max="14" width="18.28515625" customWidth="1"/>
  </cols>
  <sheetData>
    <row r="1" spans="1:14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2" t="s">
        <v>12</v>
      </c>
      <c r="N1" s="54" t="s">
        <v>437</v>
      </c>
    </row>
    <row r="2" spans="1:14" x14ac:dyDescent="0.25">
      <c r="A2" s="23" t="s">
        <v>13</v>
      </c>
      <c r="B2" s="24" t="s">
        <v>14</v>
      </c>
      <c r="C2" s="25">
        <v>45649</v>
      </c>
      <c r="D2" s="24" t="s">
        <v>15</v>
      </c>
      <c r="E2" s="24" t="s">
        <v>16</v>
      </c>
      <c r="F2" s="24">
        <v>1461</v>
      </c>
      <c r="G2" s="24">
        <v>184</v>
      </c>
      <c r="H2" s="24">
        <v>344</v>
      </c>
      <c r="I2" s="24">
        <v>21915</v>
      </c>
      <c r="J2" s="24">
        <v>21675</v>
      </c>
      <c r="K2" s="24">
        <v>15</v>
      </c>
      <c r="L2" s="24" t="s">
        <v>51</v>
      </c>
      <c r="M2" s="26" t="s">
        <v>18</v>
      </c>
      <c r="N2" s="37">
        <f>(F2+G2+H2)/I2</f>
        <v>9.0759753593429152E-2</v>
      </c>
    </row>
    <row r="3" spans="1:14" x14ac:dyDescent="0.25">
      <c r="A3" s="27" t="s">
        <v>13</v>
      </c>
      <c r="B3" s="28" t="s">
        <v>14</v>
      </c>
      <c r="C3" s="29">
        <v>45649</v>
      </c>
      <c r="D3" s="28" t="s">
        <v>15</v>
      </c>
      <c r="E3" s="28" t="s">
        <v>16</v>
      </c>
      <c r="F3" s="28">
        <v>1461</v>
      </c>
      <c r="G3" s="28">
        <v>184</v>
      </c>
      <c r="H3" s="28">
        <v>344</v>
      </c>
      <c r="I3" s="28">
        <v>21915</v>
      </c>
      <c r="J3" s="28">
        <v>21675</v>
      </c>
      <c r="K3" s="28">
        <v>15</v>
      </c>
      <c r="L3" s="28" t="s">
        <v>379</v>
      </c>
      <c r="M3" s="30" t="s">
        <v>18</v>
      </c>
      <c r="N3" s="37">
        <f t="shared" ref="N3:N66" si="0">(F3+G3+H3)/I3</f>
        <v>9.0759753593429152E-2</v>
      </c>
    </row>
    <row r="4" spans="1:14" x14ac:dyDescent="0.25">
      <c r="A4" s="23" t="s">
        <v>19</v>
      </c>
      <c r="B4" s="24" t="s">
        <v>14</v>
      </c>
      <c r="C4" s="25">
        <v>45750</v>
      </c>
      <c r="D4" s="24" t="s">
        <v>20</v>
      </c>
      <c r="E4" s="24" t="s">
        <v>21</v>
      </c>
      <c r="F4" s="24">
        <v>4054</v>
      </c>
      <c r="G4" s="24">
        <v>389</v>
      </c>
      <c r="H4" s="24">
        <v>493</v>
      </c>
      <c r="I4" s="24">
        <v>64864</v>
      </c>
      <c r="J4" s="24">
        <v>64383</v>
      </c>
      <c r="K4" s="24">
        <v>117</v>
      </c>
      <c r="L4" s="24" t="s">
        <v>27</v>
      </c>
      <c r="M4" s="26" t="s">
        <v>23</v>
      </c>
      <c r="N4" s="37">
        <f t="shared" si="0"/>
        <v>7.6097681302417369E-2</v>
      </c>
    </row>
    <row r="5" spans="1:14" x14ac:dyDescent="0.25">
      <c r="A5" s="27" t="s">
        <v>19</v>
      </c>
      <c r="B5" s="28" t="s">
        <v>14</v>
      </c>
      <c r="C5" s="29">
        <v>45750</v>
      </c>
      <c r="D5" s="28" t="s">
        <v>20</v>
      </c>
      <c r="E5" s="28" t="s">
        <v>21</v>
      </c>
      <c r="F5" s="28">
        <v>4054</v>
      </c>
      <c r="G5" s="28">
        <v>389</v>
      </c>
      <c r="H5" s="28">
        <v>493</v>
      </c>
      <c r="I5" s="28">
        <v>64864</v>
      </c>
      <c r="J5" s="28">
        <v>64383</v>
      </c>
      <c r="K5" s="28">
        <v>117</v>
      </c>
      <c r="L5" s="28" t="s">
        <v>380</v>
      </c>
      <c r="M5" s="30" t="s">
        <v>23</v>
      </c>
      <c r="N5" s="37">
        <f t="shared" si="0"/>
        <v>7.6097681302417369E-2</v>
      </c>
    </row>
    <row r="6" spans="1:14" x14ac:dyDescent="0.25">
      <c r="A6" s="23" t="s">
        <v>24</v>
      </c>
      <c r="B6" s="24" t="s">
        <v>25</v>
      </c>
      <c r="C6" s="25">
        <v>45789</v>
      </c>
      <c r="D6" s="24" t="s">
        <v>15</v>
      </c>
      <c r="E6" s="24" t="s">
        <v>26</v>
      </c>
      <c r="F6" s="24">
        <v>2795</v>
      </c>
      <c r="G6" s="24">
        <v>105</v>
      </c>
      <c r="H6" s="24">
        <v>49</v>
      </c>
      <c r="I6" s="24">
        <v>53105</v>
      </c>
      <c r="J6" s="24">
        <v>52307</v>
      </c>
      <c r="K6" s="24">
        <v>204</v>
      </c>
      <c r="L6" s="24" t="s">
        <v>27</v>
      </c>
      <c r="M6" s="26" t="s">
        <v>28</v>
      </c>
      <c r="N6" s="37">
        <f t="shared" si="0"/>
        <v>5.5531494209584788E-2</v>
      </c>
    </row>
    <row r="7" spans="1:14" x14ac:dyDescent="0.25">
      <c r="A7" s="27" t="s">
        <v>29</v>
      </c>
      <c r="B7" s="28" t="s">
        <v>30</v>
      </c>
      <c r="C7" s="29">
        <v>45516</v>
      </c>
      <c r="D7" s="28" t="s">
        <v>31</v>
      </c>
      <c r="E7" s="28" t="s">
        <v>32</v>
      </c>
      <c r="F7" s="28">
        <v>2404</v>
      </c>
      <c r="G7" s="28">
        <v>363</v>
      </c>
      <c r="H7" s="28">
        <v>138</v>
      </c>
      <c r="I7" s="28">
        <v>19232</v>
      </c>
      <c r="J7" s="28">
        <v>18636</v>
      </c>
      <c r="K7" s="28">
        <v>128</v>
      </c>
      <c r="L7" s="28" t="s">
        <v>33</v>
      </c>
      <c r="M7" s="30" t="s">
        <v>34</v>
      </c>
      <c r="N7" s="37">
        <f t="shared" si="0"/>
        <v>0.15105033277870217</v>
      </c>
    </row>
    <row r="8" spans="1:14" x14ac:dyDescent="0.25">
      <c r="A8" s="23" t="s">
        <v>35</v>
      </c>
      <c r="B8" s="24" t="s">
        <v>25</v>
      </c>
      <c r="C8" s="25">
        <v>45469</v>
      </c>
      <c r="D8" s="24" t="s">
        <v>15</v>
      </c>
      <c r="E8" s="24" t="s">
        <v>26</v>
      </c>
      <c r="F8" s="24">
        <v>3557</v>
      </c>
      <c r="G8" s="24">
        <v>687</v>
      </c>
      <c r="H8" s="24">
        <v>424</v>
      </c>
      <c r="I8" s="24">
        <v>71140</v>
      </c>
      <c r="J8" s="24">
        <v>70701</v>
      </c>
      <c r="K8" s="24">
        <v>224</v>
      </c>
      <c r="L8" s="24" t="s">
        <v>33</v>
      </c>
      <c r="M8" s="26" t="s">
        <v>18</v>
      </c>
      <c r="N8" s="37">
        <f t="shared" si="0"/>
        <v>6.5617093055946027E-2</v>
      </c>
    </row>
    <row r="9" spans="1:14" x14ac:dyDescent="0.25">
      <c r="A9" s="27" t="s">
        <v>35</v>
      </c>
      <c r="B9" s="28" t="s">
        <v>25</v>
      </c>
      <c r="C9" s="29">
        <v>45469</v>
      </c>
      <c r="D9" s="28" t="s">
        <v>15</v>
      </c>
      <c r="E9" s="28" t="s">
        <v>26</v>
      </c>
      <c r="F9" s="28">
        <v>3557</v>
      </c>
      <c r="G9" s="28">
        <v>687</v>
      </c>
      <c r="H9" s="28">
        <v>424</v>
      </c>
      <c r="I9" s="28">
        <v>71140</v>
      </c>
      <c r="J9" s="28">
        <v>70701</v>
      </c>
      <c r="K9" s="28">
        <v>224</v>
      </c>
      <c r="L9" s="28" t="s">
        <v>27</v>
      </c>
      <c r="M9" s="30" t="s">
        <v>18</v>
      </c>
      <c r="N9" s="37">
        <f t="shared" si="0"/>
        <v>6.5617093055946027E-2</v>
      </c>
    </row>
    <row r="10" spans="1:14" x14ac:dyDescent="0.25">
      <c r="A10" s="23" t="s">
        <v>37</v>
      </c>
      <c r="B10" s="24" t="s">
        <v>38</v>
      </c>
      <c r="C10" s="25">
        <v>45596</v>
      </c>
      <c r="D10" s="24" t="s">
        <v>39</v>
      </c>
      <c r="E10" s="24" t="s">
        <v>40</v>
      </c>
      <c r="F10" s="24">
        <v>2945</v>
      </c>
      <c r="G10" s="24">
        <v>930</v>
      </c>
      <c r="H10" s="24">
        <v>355</v>
      </c>
      <c r="I10" s="24">
        <v>23560</v>
      </c>
      <c r="J10" s="24">
        <v>23275</v>
      </c>
      <c r="K10" s="24">
        <v>256</v>
      </c>
      <c r="L10" s="24" t="s">
        <v>27</v>
      </c>
      <c r="M10" s="26" t="s">
        <v>23</v>
      </c>
      <c r="N10" s="37">
        <f t="shared" si="0"/>
        <v>0.17954159592529711</v>
      </c>
    </row>
    <row r="11" spans="1:14" x14ac:dyDescent="0.25">
      <c r="A11" s="27" t="s">
        <v>41</v>
      </c>
      <c r="B11" s="28" t="s">
        <v>14</v>
      </c>
      <c r="C11" s="29">
        <v>45467</v>
      </c>
      <c r="D11" s="28" t="s">
        <v>39</v>
      </c>
      <c r="E11" s="28" t="s">
        <v>42</v>
      </c>
      <c r="F11" s="28">
        <v>3860</v>
      </c>
      <c r="G11" s="28">
        <v>201</v>
      </c>
      <c r="H11" s="28">
        <v>279</v>
      </c>
      <c r="I11" s="28">
        <v>61760</v>
      </c>
      <c r="J11" s="28">
        <v>61660</v>
      </c>
      <c r="K11" s="28">
        <v>235</v>
      </c>
      <c r="L11" s="28" t="s">
        <v>27</v>
      </c>
      <c r="M11" s="30" t="s">
        <v>23</v>
      </c>
      <c r="N11" s="37">
        <f t="shared" si="0"/>
        <v>7.0272020725388601E-2</v>
      </c>
    </row>
    <row r="12" spans="1:14" x14ac:dyDescent="0.25">
      <c r="A12" s="23" t="s">
        <v>43</v>
      </c>
      <c r="B12" s="24" t="s">
        <v>25</v>
      </c>
      <c r="C12" s="25">
        <v>45486</v>
      </c>
      <c r="D12" s="24" t="s">
        <v>44</v>
      </c>
      <c r="E12" s="24" t="s">
        <v>45</v>
      </c>
      <c r="F12" s="24">
        <v>3929</v>
      </c>
      <c r="G12" s="24">
        <v>262</v>
      </c>
      <c r="H12" s="24">
        <v>278</v>
      </c>
      <c r="I12" s="24">
        <v>43219</v>
      </c>
      <c r="J12" s="24">
        <v>42841</v>
      </c>
      <c r="K12" s="24">
        <v>39</v>
      </c>
      <c r="L12" s="24" t="s">
        <v>33</v>
      </c>
      <c r="M12" s="26" t="s">
        <v>34</v>
      </c>
      <c r="N12" s="37">
        <f t="shared" si="0"/>
        <v>0.10340359564080613</v>
      </c>
    </row>
    <row r="13" spans="1:14" x14ac:dyDescent="0.25">
      <c r="A13" s="27" t="s">
        <v>46</v>
      </c>
      <c r="B13" s="28" t="s">
        <v>38</v>
      </c>
      <c r="C13" s="29">
        <v>45534</v>
      </c>
      <c r="D13" s="28" t="s">
        <v>20</v>
      </c>
      <c r="E13" s="28" t="s">
        <v>47</v>
      </c>
      <c r="F13" s="28">
        <v>3784</v>
      </c>
      <c r="G13" s="28">
        <v>808</v>
      </c>
      <c r="H13" s="28">
        <v>404</v>
      </c>
      <c r="I13" s="28">
        <v>56760</v>
      </c>
      <c r="J13" s="28">
        <v>56343</v>
      </c>
      <c r="K13" s="28">
        <v>131</v>
      </c>
      <c r="L13" s="28" t="s">
        <v>27</v>
      </c>
      <c r="M13" s="30" t="s">
        <v>23</v>
      </c>
      <c r="N13" s="37">
        <f t="shared" si="0"/>
        <v>8.8019732205778717E-2</v>
      </c>
    </row>
    <row r="14" spans="1:14" x14ac:dyDescent="0.25">
      <c r="A14" s="23" t="s">
        <v>48</v>
      </c>
      <c r="B14" s="24" t="s">
        <v>38</v>
      </c>
      <c r="C14" s="25">
        <v>45727</v>
      </c>
      <c r="D14" s="24" t="s">
        <v>44</v>
      </c>
      <c r="E14" s="24" t="s">
        <v>49</v>
      </c>
      <c r="F14" s="24">
        <v>4241</v>
      </c>
      <c r="G14" s="24">
        <v>902</v>
      </c>
      <c r="H14" s="24">
        <v>47</v>
      </c>
      <c r="I14" s="24">
        <v>72097</v>
      </c>
      <c r="J14" s="24">
        <v>71598</v>
      </c>
      <c r="K14" s="24">
        <v>167</v>
      </c>
      <c r="L14" s="24" t="s">
        <v>27</v>
      </c>
      <c r="M14" s="26" t="s">
        <v>23</v>
      </c>
      <c r="N14" s="37">
        <f t="shared" si="0"/>
        <v>7.198635172059864E-2</v>
      </c>
    </row>
    <row r="15" spans="1:14" x14ac:dyDescent="0.25">
      <c r="A15" s="27" t="s">
        <v>50</v>
      </c>
      <c r="B15" s="28" t="s">
        <v>30</v>
      </c>
      <c r="C15" s="29">
        <v>45690</v>
      </c>
      <c r="D15" s="28" t="s">
        <v>31</v>
      </c>
      <c r="E15" s="28" t="s">
        <v>32</v>
      </c>
      <c r="F15" s="28">
        <v>1792</v>
      </c>
      <c r="G15" s="28">
        <v>614</v>
      </c>
      <c r="H15" s="28">
        <v>497</v>
      </c>
      <c r="I15" s="28">
        <v>25088</v>
      </c>
      <c r="J15" s="28">
        <v>24675</v>
      </c>
      <c r="K15" s="28">
        <v>65</v>
      </c>
      <c r="L15" s="28" t="s">
        <v>51</v>
      </c>
      <c r="M15" s="30" t="s">
        <v>34</v>
      </c>
      <c r="N15" s="37">
        <f t="shared" si="0"/>
        <v>0.11571269132653061</v>
      </c>
    </row>
    <row r="16" spans="1:14" x14ac:dyDescent="0.25">
      <c r="A16" s="23" t="s">
        <v>52</v>
      </c>
      <c r="B16" s="24" t="s">
        <v>38</v>
      </c>
      <c r="C16" s="25">
        <v>45494</v>
      </c>
      <c r="D16" s="24" t="s">
        <v>15</v>
      </c>
      <c r="E16" s="24" t="s">
        <v>53</v>
      </c>
      <c r="F16" s="24">
        <v>1946</v>
      </c>
      <c r="G16" s="24">
        <v>686</v>
      </c>
      <c r="H16" s="24">
        <v>377</v>
      </c>
      <c r="I16" s="24">
        <v>23352</v>
      </c>
      <c r="J16" s="24">
        <v>22982</v>
      </c>
      <c r="K16" s="24">
        <v>213</v>
      </c>
      <c r="L16" s="24" t="s">
        <v>51</v>
      </c>
      <c r="M16" s="26" t="s">
        <v>28</v>
      </c>
      <c r="N16" s="37">
        <f t="shared" si="0"/>
        <v>0.12885405960945528</v>
      </c>
    </row>
    <row r="17" spans="1:14" x14ac:dyDescent="0.25">
      <c r="A17" s="27" t="s">
        <v>54</v>
      </c>
      <c r="B17" s="28" t="s">
        <v>25</v>
      </c>
      <c r="C17" s="29">
        <v>45614</v>
      </c>
      <c r="D17" s="28" t="s">
        <v>39</v>
      </c>
      <c r="E17" s="28" t="s">
        <v>55</v>
      </c>
      <c r="F17" s="28">
        <v>1171</v>
      </c>
      <c r="G17" s="28">
        <v>286</v>
      </c>
      <c r="H17" s="28">
        <v>231</v>
      </c>
      <c r="I17" s="28">
        <v>22249</v>
      </c>
      <c r="J17" s="28">
        <v>21282</v>
      </c>
      <c r="K17" s="28">
        <v>114</v>
      </c>
      <c r="L17" s="28" t="s">
        <v>33</v>
      </c>
      <c r="M17" s="30" t="s">
        <v>18</v>
      </c>
      <c r="N17" s="37">
        <f t="shared" si="0"/>
        <v>7.5868578363072495E-2</v>
      </c>
    </row>
    <row r="18" spans="1:14" x14ac:dyDescent="0.25">
      <c r="A18" s="23" t="s">
        <v>56</v>
      </c>
      <c r="B18" s="24" t="s">
        <v>38</v>
      </c>
      <c r="C18" s="25">
        <v>45704</v>
      </c>
      <c r="D18" s="24" t="s">
        <v>31</v>
      </c>
      <c r="E18" s="24" t="s">
        <v>57</v>
      </c>
      <c r="F18" s="24">
        <v>4242</v>
      </c>
      <c r="G18" s="24">
        <v>555</v>
      </c>
      <c r="H18" s="24">
        <v>131</v>
      </c>
      <c r="I18" s="24">
        <v>33936</v>
      </c>
      <c r="J18" s="24">
        <v>33802</v>
      </c>
      <c r="K18" s="24">
        <v>265</v>
      </c>
      <c r="L18" s="24" t="s">
        <v>51</v>
      </c>
      <c r="M18" s="26"/>
      <c r="N18" s="37">
        <f t="shared" si="0"/>
        <v>0.14521452145214522</v>
      </c>
    </row>
    <row r="19" spans="1:14" x14ac:dyDescent="0.25">
      <c r="A19" s="27" t="s">
        <v>58</v>
      </c>
      <c r="B19" s="28" t="s">
        <v>38</v>
      </c>
      <c r="C19" s="29">
        <v>45589</v>
      </c>
      <c r="D19" s="28" t="s">
        <v>59</v>
      </c>
      <c r="E19" s="28" t="s">
        <v>60</v>
      </c>
      <c r="F19" s="28">
        <v>3888</v>
      </c>
      <c r="G19" s="28">
        <v>604</v>
      </c>
      <c r="H19" s="28">
        <v>128</v>
      </c>
      <c r="I19" s="28">
        <v>77760</v>
      </c>
      <c r="J19" s="28">
        <v>77167</v>
      </c>
      <c r="K19" s="28">
        <v>20</v>
      </c>
      <c r="L19" s="28" t="s">
        <v>51</v>
      </c>
      <c r="M19" s="30" t="s">
        <v>18</v>
      </c>
      <c r="N19" s="37">
        <f t="shared" si="0"/>
        <v>5.941358024691358E-2</v>
      </c>
    </row>
    <row r="20" spans="1:14" x14ac:dyDescent="0.25">
      <c r="A20" s="23" t="s">
        <v>61</v>
      </c>
      <c r="B20" s="24" t="s">
        <v>38</v>
      </c>
      <c r="C20" s="25">
        <v>45530</v>
      </c>
      <c r="D20" s="24" t="s">
        <v>20</v>
      </c>
      <c r="E20" s="24" t="s">
        <v>47</v>
      </c>
      <c r="F20" s="24">
        <v>3452</v>
      </c>
      <c r="G20" s="24">
        <v>377</v>
      </c>
      <c r="H20" s="24">
        <v>360</v>
      </c>
      <c r="I20" s="24">
        <v>55232</v>
      </c>
      <c r="J20" s="24">
        <v>55075</v>
      </c>
      <c r="K20" s="24">
        <v>87</v>
      </c>
      <c r="L20" s="24" t="s">
        <v>51</v>
      </c>
      <c r="M20" s="26" t="s">
        <v>28</v>
      </c>
      <c r="N20" s="37">
        <f t="shared" si="0"/>
        <v>7.5843713789107758E-2</v>
      </c>
    </row>
    <row r="21" spans="1:14" x14ac:dyDescent="0.25">
      <c r="A21" s="27" t="s">
        <v>62</v>
      </c>
      <c r="B21" s="28" t="s">
        <v>38</v>
      </c>
      <c r="C21" s="29">
        <v>45782</v>
      </c>
      <c r="D21" s="28" t="s">
        <v>20</v>
      </c>
      <c r="E21" s="28" t="s">
        <v>47</v>
      </c>
      <c r="F21" s="28">
        <v>4441</v>
      </c>
      <c r="G21" s="28">
        <v>511</v>
      </c>
      <c r="H21" s="28">
        <v>70</v>
      </c>
      <c r="I21" s="28">
        <v>53292</v>
      </c>
      <c r="J21" s="28">
        <v>53082</v>
      </c>
      <c r="K21" s="28">
        <v>159</v>
      </c>
      <c r="L21" s="28" t="s">
        <v>33</v>
      </c>
      <c r="M21" s="30" t="s">
        <v>34</v>
      </c>
      <c r="N21" s="37">
        <f t="shared" si="0"/>
        <v>9.4235532537716729E-2</v>
      </c>
    </row>
    <row r="22" spans="1:14" x14ac:dyDescent="0.25">
      <c r="A22" s="23" t="s">
        <v>63</v>
      </c>
      <c r="B22" s="24" t="s">
        <v>30</v>
      </c>
      <c r="C22" s="25">
        <v>45523</v>
      </c>
      <c r="D22" s="24" t="s">
        <v>15</v>
      </c>
      <c r="E22" s="24" t="s">
        <v>64</v>
      </c>
      <c r="F22" s="24">
        <v>3000</v>
      </c>
      <c r="G22" s="24">
        <v>382</v>
      </c>
      <c r="H22" s="24">
        <v>325</v>
      </c>
      <c r="I22" s="24">
        <v>36000</v>
      </c>
      <c r="J22" s="24">
        <v>35819</v>
      </c>
      <c r="K22" s="24">
        <v>19</v>
      </c>
      <c r="L22" s="24" t="s">
        <v>51</v>
      </c>
      <c r="M22" s="26" t="s">
        <v>18</v>
      </c>
      <c r="N22" s="37">
        <f t="shared" si="0"/>
        <v>0.10297222222222223</v>
      </c>
    </row>
    <row r="23" spans="1:14" x14ac:dyDescent="0.25">
      <c r="A23" s="27" t="s">
        <v>65</v>
      </c>
      <c r="B23" s="28" t="s">
        <v>30</v>
      </c>
      <c r="C23" s="29">
        <v>45466</v>
      </c>
      <c r="D23" s="28" t="s">
        <v>59</v>
      </c>
      <c r="E23" s="28" t="s">
        <v>66</v>
      </c>
      <c r="F23" s="28">
        <v>1071</v>
      </c>
      <c r="G23" s="28">
        <v>519</v>
      </c>
      <c r="H23" s="28">
        <v>22</v>
      </c>
      <c r="I23" s="28">
        <v>16065</v>
      </c>
      <c r="J23" s="28">
        <v>15865</v>
      </c>
      <c r="K23" s="28">
        <v>103</v>
      </c>
      <c r="L23" s="28" t="s">
        <v>27</v>
      </c>
      <c r="M23" s="30" t="s">
        <v>34</v>
      </c>
      <c r="N23" s="37">
        <f t="shared" si="0"/>
        <v>0.10034235916588857</v>
      </c>
    </row>
    <row r="24" spans="1:14" x14ac:dyDescent="0.25">
      <c r="A24" s="23" t="s">
        <v>67</v>
      </c>
      <c r="B24" s="24" t="s">
        <v>30</v>
      </c>
      <c r="C24" s="25">
        <v>45544</v>
      </c>
      <c r="D24" s="24" t="s">
        <v>39</v>
      </c>
      <c r="E24" s="24" t="s">
        <v>68</v>
      </c>
      <c r="F24" s="24">
        <v>4054</v>
      </c>
      <c r="G24" s="24">
        <v>488</v>
      </c>
      <c r="H24" s="24">
        <v>373</v>
      </c>
      <c r="I24" s="24">
        <v>77026</v>
      </c>
      <c r="J24" s="24">
        <v>76881</v>
      </c>
      <c r="K24" s="24">
        <v>25</v>
      </c>
      <c r="L24" s="24" t="s">
        <v>27</v>
      </c>
      <c r="M24" s="26" t="s">
        <v>18</v>
      </c>
      <c r="N24" s="37">
        <f t="shared" si="0"/>
        <v>6.3809622724794221E-2</v>
      </c>
    </row>
    <row r="25" spans="1:14" x14ac:dyDescent="0.25">
      <c r="A25" s="27" t="s">
        <v>69</v>
      </c>
      <c r="B25" s="28" t="s">
        <v>30</v>
      </c>
      <c r="C25" s="29">
        <v>45661</v>
      </c>
      <c r="D25" s="28" t="s">
        <v>15</v>
      </c>
      <c r="E25" s="28" t="s">
        <v>64</v>
      </c>
      <c r="F25" s="28">
        <v>4838</v>
      </c>
      <c r="G25" s="28">
        <v>640</v>
      </c>
      <c r="H25" s="28">
        <v>128</v>
      </c>
      <c r="I25" s="28">
        <v>72570</v>
      </c>
      <c r="J25" s="28">
        <v>72396</v>
      </c>
      <c r="K25" s="28">
        <v>83</v>
      </c>
      <c r="L25" s="28" t="s">
        <v>51</v>
      </c>
      <c r="M25" s="30" t="s">
        <v>34</v>
      </c>
      <c r="N25" s="37">
        <f t="shared" si="0"/>
        <v>7.7249552156538517E-2</v>
      </c>
    </row>
    <row r="26" spans="1:14" x14ac:dyDescent="0.25">
      <c r="A26" s="23" t="s">
        <v>70</v>
      </c>
      <c r="B26" s="24" t="s">
        <v>38</v>
      </c>
      <c r="C26" s="25">
        <v>45715</v>
      </c>
      <c r="D26" s="24" t="s">
        <v>20</v>
      </c>
      <c r="E26" s="24" t="s">
        <v>47</v>
      </c>
      <c r="F26" s="24">
        <v>1570</v>
      </c>
      <c r="G26" s="24">
        <v>187</v>
      </c>
      <c r="H26" s="24">
        <v>260</v>
      </c>
      <c r="I26" s="24">
        <v>25120</v>
      </c>
      <c r="J26" s="24">
        <v>24613</v>
      </c>
      <c r="K26" s="24">
        <v>133</v>
      </c>
      <c r="L26" s="24" t="s">
        <v>27</v>
      </c>
      <c r="M26" s="26" t="s">
        <v>34</v>
      </c>
      <c r="N26" s="37">
        <f t="shared" si="0"/>
        <v>8.0294585987261149E-2</v>
      </c>
    </row>
    <row r="27" spans="1:14" x14ac:dyDescent="0.25">
      <c r="A27" s="27" t="s">
        <v>71</v>
      </c>
      <c r="B27" s="28" t="s">
        <v>38</v>
      </c>
      <c r="C27" s="29">
        <v>45602</v>
      </c>
      <c r="D27" s="28" t="s">
        <v>59</v>
      </c>
      <c r="E27" s="28" t="s">
        <v>60</v>
      </c>
      <c r="F27" s="28">
        <v>1606</v>
      </c>
      <c r="G27" s="28">
        <v>547</v>
      </c>
      <c r="H27" s="28">
        <v>316</v>
      </c>
      <c r="I27" s="28">
        <v>32120</v>
      </c>
      <c r="J27" s="28">
        <v>31736</v>
      </c>
      <c r="K27" s="28">
        <v>225</v>
      </c>
      <c r="L27" s="28" t="s">
        <v>27</v>
      </c>
      <c r="M27" s="30" t="s">
        <v>23</v>
      </c>
      <c r="N27" s="37">
        <f t="shared" si="0"/>
        <v>7.6867995018679955E-2</v>
      </c>
    </row>
    <row r="28" spans="1:14" x14ac:dyDescent="0.25">
      <c r="A28" s="23" t="s">
        <v>71</v>
      </c>
      <c r="B28" s="24" t="s">
        <v>38</v>
      </c>
      <c r="C28" s="25">
        <v>45602</v>
      </c>
      <c r="D28" s="24" t="s">
        <v>59</v>
      </c>
      <c r="E28" s="24" t="s">
        <v>60</v>
      </c>
      <c r="F28" s="24">
        <v>1606</v>
      </c>
      <c r="G28" s="24">
        <v>547</v>
      </c>
      <c r="H28" s="24">
        <v>316</v>
      </c>
      <c r="I28" s="24">
        <v>32120</v>
      </c>
      <c r="J28" s="24">
        <v>31736</v>
      </c>
      <c r="K28" s="24">
        <v>225</v>
      </c>
      <c r="L28" s="24" t="s">
        <v>379</v>
      </c>
      <c r="M28" s="26" t="s">
        <v>23</v>
      </c>
      <c r="N28" s="37">
        <f t="shared" si="0"/>
        <v>7.6867995018679955E-2</v>
      </c>
    </row>
    <row r="29" spans="1:14" x14ac:dyDescent="0.25">
      <c r="A29" s="27" t="s">
        <v>73</v>
      </c>
      <c r="B29" s="28" t="s">
        <v>38</v>
      </c>
      <c r="C29" s="29">
        <v>45680</v>
      </c>
      <c r="D29" s="28" t="s">
        <v>59</v>
      </c>
      <c r="E29" s="28" t="s">
        <v>60</v>
      </c>
      <c r="F29" s="28">
        <v>3961</v>
      </c>
      <c r="G29" s="28">
        <v>761</v>
      </c>
      <c r="H29" s="28">
        <v>131</v>
      </c>
      <c r="I29" s="28">
        <v>67337</v>
      </c>
      <c r="J29" s="28">
        <v>66615</v>
      </c>
      <c r="K29" s="28">
        <v>161</v>
      </c>
      <c r="L29" s="28" t="s">
        <v>51</v>
      </c>
      <c r="M29" s="30" t="s">
        <v>28</v>
      </c>
      <c r="N29" s="37">
        <f t="shared" si="0"/>
        <v>7.2070332803659209E-2</v>
      </c>
    </row>
    <row r="30" spans="1:14" x14ac:dyDescent="0.25">
      <c r="A30" s="23" t="s">
        <v>74</v>
      </c>
      <c r="B30" s="24" t="s">
        <v>14</v>
      </c>
      <c r="C30" s="25">
        <v>45757</v>
      </c>
      <c r="D30" s="24" t="s">
        <v>39</v>
      </c>
      <c r="E30" s="24" t="s">
        <v>42</v>
      </c>
      <c r="F30" s="24">
        <v>3128</v>
      </c>
      <c r="G30" s="24">
        <v>211</v>
      </c>
      <c r="H30" s="24">
        <v>197</v>
      </c>
      <c r="I30" s="24">
        <v>59432</v>
      </c>
      <c r="J30" s="24">
        <v>59182</v>
      </c>
      <c r="K30" s="24">
        <v>238</v>
      </c>
      <c r="L30" s="24" t="s">
        <v>33</v>
      </c>
      <c r="M30" s="26"/>
      <c r="N30" s="37">
        <f t="shared" si="0"/>
        <v>5.9496567505720827E-2</v>
      </c>
    </row>
    <row r="31" spans="1:14" x14ac:dyDescent="0.25">
      <c r="A31" s="27" t="s">
        <v>75</v>
      </c>
      <c r="B31" s="28" t="s">
        <v>25</v>
      </c>
      <c r="C31" s="29">
        <v>45752</v>
      </c>
      <c r="D31" s="28" t="s">
        <v>15</v>
      </c>
      <c r="E31" s="28" t="s">
        <v>26</v>
      </c>
      <c r="F31" s="28">
        <v>3009</v>
      </c>
      <c r="G31" s="28">
        <v>413</v>
      </c>
      <c r="H31" s="28">
        <v>358</v>
      </c>
      <c r="I31" s="28">
        <v>42126</v>
      </c>
      <c r="J31" s="28">
        <v>41309</v>
      </c>
      <c r="K31" s="28">
        <v>211</v>
      </c>
      <c r="L31" s="28" t="s">
        <v>51</v>
      </c>
      <c r="M31" s="30" t="s">
        <v>23</v>
      </c>
      <c r="N31" s="37">
        <f t="shared" si="0"/>
        <v>8.9730807577268201E-2</v>
      </c>
    </row>
    <row r="32" spans="1:14" x14ac:dyDescent="0.25">
      <c r="A32" s="23" t="s">
        <v>76</v>
      </c>
      <c r="B32" s="24" t="s">
        <v>25</v>
      </c>
      <c r="C32" s="25">
        <v>45552</v>
      </c>
      <c r="D32" s="24" t="s">
        <v>20</v>
      </c>
      <c r="E32" s="24" t="s">
        <v>77</v>
      </c>
      <c r="F32" s="24">
        <v>2076</v>
      </c>
      <c r="G32" s="24">
        <v>195</v>
      </c>
      <c r="H32" s="24">
        <v>104</v>
      </c>
      <c r="I32" s="24">
        <v>33216</v>
      </c>
      <c r="J32" s="24">
        <v>32244</v>
      </c>
      <c r="K32" s="24">
        <v>51</v>
      </c>
      <c r="L32" s="24" t="s">
        <v>51</v>
      </c>
      <c r="M32" s="26" t="s">
        <v>34</v>
      </c>
      <c r="N32" s="37">
        <f t="shared" si="0"/>
        <v>7.1501685934489398E-2</v>
      </c>
    </row>
    <row r="33" spans="1:14" x14ac:dyDescent="0.25">
      <c r="A33" s="27" t="s">
        <v>78</v>
      </c>
      <c r="B33" s="28" t="s">
        <v>30</v>
      </c>
      <c r="C33" s="29">
        <v>45720</v>
      </c>
      <c r="D33" s="28" t="s">
        <v>59</v>
      </c>
      <c r="E33" s="28" t="s">
        <v>66</v>
      </c>
      <c r="F33" s="28">
        <v>432</v>
      </c>
      <c r="G33" s="28">
        <v>624</v>
      </c>
      <c r="H33" s="28">
        <v>123</v>
      </c>
      <c r="I33" s="28">
        <v>6912</v>
      </c>
      <c r="J33" s="28">
        <v>6259</v>
      </c>
      <c r="K33" s="28">
        <v>79</v>
      </c>
      <c r="L33" s="28" t="s">
        <v>51</v>
      </c>
      <c r="M33" s="30" t="s">
        <v>34</v>
      </c>
      <c r="N33" s="37">
        <f t="shared" si="0"/>
        <v>0.17057291666666666</v>
      </c>
    </row>
    <row r="34" spans="1:14" x14ac:dyDescent="0.25">
      <c r="A34" s="23" t="s">
        <v>79</v>
      </c>
      <c r="B34" s="24" t="s">
        <v>30</v>
      </c>
      <c r="C34" s="25">
        <v>45688</v>
      </c>
      <c r="D34" s="24" t="s">
        <v>39</v>
      </c>
      <c r="E34" s="24" t="s">
        <v>68</v>
      </c>
      <c r="F34" s="24">
        <v>2566</v>
      </c>
      <c r="G34" s="24">
        <v>118</v>
      </c>
      <c r="H34" s="24">
        <v>37</v>
      </c>
      <c r="I34" s="24">
        <v>12830</v>
      </c>
      <c r="J34" s="24">
        <v>12264</v>
      </c>
      <c r="K34" s="24">
        <v>221</v>
      </c>
      <c r="L34" s="24" t="s">
        <v>51</v>
      </c>
      <c r="M34" s="26" t="s">
        <v>28</v>
      </c>
      <c r="N34" s="37">
        <f t="shared" si="0"/>
        <v>0.21208106001558846</v>
      </c>
    </row>
    <row r="35" spans="1:14" x14ac:dyDescent="0.25">
      <c r="A35" s="27" t="s">
        <v>80</v>
      </c>
      <c r="B35" s="28" t="s">
        <v>30</v>
      </c>
      <c r="C35" s="29">
        <v>45713</v>
      </c>
      <c r="D35" s="28" t="s">
        <v>59</v>
      </c>
      <c r="E35" s="28" t="s">
        <v>66</v>
      </c>
      <c r="F35" s="28">
        <v>3095</v>
      </c>
      <c r="G35" s="28">
        <v>39</v>
      </c>
      <c r="H35" s="28">
        <v>78</v>
      </c>
      <c r="I35" s="28">
        <v>55710</v>
      </c>
      <c r="J35" s="28">
        <v>54808</v>
      </c>
      <c r="K35" s="28">
        <v>93</v>
      </c>
      <c r="L35" s="28" t="s">
        <v>33</v>
      </c>
      <c r="M35" s="30"/>
      <c r="N35" s="37">
        <f t="shared" si="0"/>
        <v>5.7655717106444085E-2</v>
      </c>
    </row>
    <row r="36" spans="1:14" x14ac:dyDescent="0.25">
      <c r="A36" s="23" t="s">
        <v>81</v>
      </c>
      <c r="B36" s="24" t="s">
        <v>30</v>
      </c>
      <c r="C36" s="25">
        <v>45642</v>
      </c>
      <c r="D36" s="24" t="s">
        <v>20</v>
      </c>
      <c r="E36" s="24" t="s">
        <v>82</v>
      </c>
      <c r="F36" s="24">
        <v>438</v>
      </c>
      <c r="G36" s="24">
        <v>153</v>
      </c>
      <c r="H36" s="24">
        <v>275</v>
      </c>
      <c r="I36" s="24">
        <v>3066</v>
      </c>
      <c r="J36" s="24">
        <v>2701</v>
      </c>
      <c r="K36" s="24">
        <v>282</v>
      </c>
      <c r="L36" s="24" t="s">
        <v>27</v>
      </c>
      <c r="M36" s="26" t="s">
        <v>23</v>
      </c>
      <c r="N36" s="37">
        <f t="shared" si="0"/>
        <v>0.28245270711024134</v>
      </c>
    </row>
    <row r="37" spans="1:14" x14ac:dyDescent="0.25">
      <c r="A37" s="27" t="s">
        <v>83</v>
      </c>
      <c r="B37" s="28" t="s">
        <v>14</v>
      </c>
      <c r="C37" s="29">
        <v>45504</v>
      </c>
      <c r="D37" s="28" t="s">
        <v>39</v>
      </c>
      <c r="E37" s="28" t="s">
        <v>42</v>
      </c>
      <c r="F37" s="28">
        <v>2278</v>
      </c>
      <c r="G37" s="28">
        <v>10</v>
      </c>
      <c r="H37" s="28">
        <v>321</v>
      </c>
      <c r="I37" s="28">
        <v>13668</v>
      </c>
      <c r="J37" s="28">
        <v>12676</v>
      </c>
      <c r="K37" s="28">
        <v>275</v>
      </c>
      <c r="L37" s="28" t="s">
        <v>33</v>
      </c>
      <c r="M37" s="30" t="s">
        <v>18</v>
      </c>
      <c r="N37" s="37">
        <f t="shared" si="0"/>
        <v>0.19088381621305239</v>
      </c>
    </row>
    <row r="38" spans="1:14" x14ac:dyDescent="0.25">
      <c r="A38" s="23" t="s">
        <v>84</v>
      </c>
      <c r="B38" s="24" t="s">
        <v>38</v>
      </c>
      <c r="C38" s="25">
        <v>45525</v>
      </c>
      <c r="D38" s="24" t="s">
        <v>44</v>
      </c>
      <c r="E38" s="24" t="s">
        <v>49</v>
      </c>
      <c r="F38" s="24">
        <v>1407</v>
      </c>
      <c r="G38" s="24">
        <v>400</v>
      </c>
      <c r="H38" s="24">
        <v>351</v>
      </c>
      <c r="I38" s="24">
        <v>16884</v>
      </c>
      <c r="J38" s="24">
        <v>15954</v>
      </c>
      <c r="K38" s="24">
        <v>113</v>
      </c>
      <c r="L38" s="24" t="s">
        <v>27</v>
      </c>
      <c r="M38" s="26" t="s">
        <v>18</v>
      </c>
      <c r="N38" s="37">
        <f t="shared" si="0"/>
        <v>0.12781331438047855</v>
      </c>
    </row>
    <row r="39" spans="1:14" x14ac:dyDescent="0.25">
      <c r="A39" s="27" t="s">
        <v>85</v>
      </c>
      <c r="B39" s="28" t="s">
        <v>38</v>
      </c>
      <c r="C39" s="29">
        <v>45742</v>
      </c>
      <c r="D39" s="28" t="s">
        <v>20</v>
      </c>
      <c r="E39" s="28" t="s">
        <v>47</v>
      </c>
      <c r="F39" s="28">
        <v>1652</v>
      </c>
      <c r="G39" s="28">
        <v>89</v>
      </c>
      <c r="H39" s="28">
        <v>357</v>
      </c>
      <c r="I39" s="28">
        <v>29736</v>
      </c>
      <c r="J39" s="28">
        <v>28771</v>
      </c>
      <c r="K39" s="28">
        <v>215</v>
      </c>
      <c r="L39" s="28" t="s">
        <v>27</v>
      </c>
      <c r="M39" s="30" t="s">
        <v>28</v>
      </c>
      <c r="N39" s="37">
        <f t="shared" si="0"/>
        <v>7.055421038471886E-2</v>
      </c>
    </row>
    <row r="40" spans="1:14" x14ac:dyDescent="0.25">
      <c r="A40" s="23" t="s">
        <v>86</v>
      </c>
      <c r="B40" s="24" t="s">
        <v>30</v>
      </c>
      <c r="C40" s="25">
        <v>45626</v>
      </c>
      <c r="D40" s="24" t="s">
        <v>59</v>
      </c>
      <c r="E40" s="24" t="s">
        <v>66</v>
      </c>
      <c r="F40" s="24">
        <v>3775</v>
      </c>
      <c r="G40" s="24">
        <v>16</v>
      </c>
      <c r="H40" s="24">
        <v>239</v>
      </c>
      <c r="I40" s="24">
        <v>33975</v>
      </c>
      <c r="J40" s="24">
        <v>33310</v>
      </c>
      <c r="K40" s="24">
        <v>271</v>
      </c>
      <c r="L40" s="24" t="s">
        <v>51</v>
      </c>
      <c r="M40" s="26" t="s">
        <v>23</v>
      </c>
      <c r="N40" s="37">
        <f t="shared" si="0"/>
        <v>0.11861662987490802</v>
      </c>
    </row>
    <row r="41" spans="1:14" x14ac:dyDescent="0.25">
      <c r="A41" s="27" t="s">
        <v>87</v>
      </c>
      <c r="B41" s="28" t="s">
        <v>30</v>
      </c>
      <c r="C41" s="29">
        <v>45766</v>
      </c>
      <c r="D41" s="28" t="s">
        <v>31</v>
      </c>
      <c r="E41" s="28" t="s">
        <v>32</v>
      </c>
      <c r="F41" s="28">
        <v>4518</v>
      </c>
      <c r="G41" s="28">
        <v>285</v>
      </c>
      <c r="H41" s="28">
        <v>383</v>
      </c>
      <c r="I41" s="28">
        <v>67770</v>
      </c>
      <c r="J41" s="28">
        <v>67621</v>
      </c>
      <c r="K41" s="28">
        <v>31</v>
      </c>
      <c r="L41" s="28" t="s">
        <v>33</v>
      </c>
      <c r="M41" s="30" t="s">
        <v>23</v>
      </c>
      <c r="N41" s="37">
        <f t="shared" si="0"/>
        <v>7.6523535487678915E-2</v>
      </c>
    </row>
    <row r="42" spans="1:14" x14ac:dyDescent="0.25">
      <c r="A42" s="23" t="s">
        <v>88</v>
      </c>
      <c r="B42" s="24" t="s">
        <v>38</v>
      </c>
      <c r="C42" s="25">
        <v>45663</v>
      </c>
      <c r="D42" s="24" t="s">
        <v>39</v>
      </c>
      <c r="E42" s="24" t="s">
        <v>40</v>
      </c>
      <c r="F42" s="24">
        <v>3024</v>
      </c>
      <c r="G42" s="24">
        <v>925</v>
      </c>
      <c r="H42" s="24">
        <v>350</v>
      </c>
      <c r="I42" s="24">
        <v>24192</v>
      </c>
      <c r="J42" s="24">
        <v>23518</v>
      </c>
      <c r="K42" s="24">
        <v>36</v>
      </c>
      <c r="L42" s="24" t="s">
        <v>33</v>
      </c>
      <c r="M42" s="26" t="s">
        <v>23</v>
      </c>
      <c r="N42" s="37">
        <f t="shared" si="0"/>
        <v>0.17770337301587302</v>
      </c>
    </row>
    <row r="43" spans="1:14" x14ac:dyDescent="0.25">
      <c r="A43" s="27" t="s">
        <v>89</v>
      </c>
      <c r="B43" s="28" t="s">
        <v>25</v>
      </c>
      <c r="C43" s="29">
        <v>45705</v>
      </c>
      <c r="D43" s="28" t="s">
        <v>15</v>
      </c>
      <c r="E43" s="28" t="s">
        <v>26</v>
      </c>
      <c r="F43" s="28">
        <v>3138</v>
      </c>
      <c r="G43" s="28">
        <v>123</v>
      </c>
      <c r="H43" s="28">
        <v>291</v>
      </c>
      <c r="I43" s="28">
        <v>28242</v>
      </c>
      <c r="J43" s="28">
        <v>27550</v>
      </c>
      <c r="K43" s="28">
        <v>87</v>
      </c>
      <c r="L43" s="28" t="s">
        <v>27</v>
      </c>
      <c r="M43" s="30" t="s">
        <v>34</v>
      </c>
      <c r="N43" s="37">
        <f t="shared" si="0"/>
        <v>0.12577012959422137</v>
      </c>
    </row>
    <row r="44" spans="1:14" x14ac:dyDescent="0.25">
      <c r="A44" s="23" t="s">
        <v>90</v>
      </c>
      <c r="B44" s="24" t="s">
        <v>38</v>
      </c>
      <c r="C44" s="25">
        <v>45621</v>
      </c>
      <c r="D44" s="24" t="s">
        <v>44</v>
      </c>
      <c r="E44" s="24" t="s">
        <v>49</v>
      </c>
      <c r="F44" s="24">
        <v>3564</v>
      </c>
      <c r="G44" s="24">
        <v>629</v>
      </c>
      <c r="H44" s="24">
        <v>177</v>
      </c>
      <c r="I44" s="24">
        <v>60588</v>
      </c>
      <c r="J44" s="24">
        <v>59627</v>
      </c>
      <c r="K44" s="24">
        <v>92</v>
      </c>
      <c r="L44" s="24" t="s">
        <v>27</v>
      </c>
      <c r="M44" s="26"/>
      <c r="N44" s="37">
        <f t="shared" si="0"/>
        <v>7.2126493695121141E-2</v>
      </c>
    </row>
    <row r="45" spans="1:14" x14ac:dyDescent="0.25">
      <c r="A45" s="27" t="s">
        <v>91</v>
      </c>
      <c r="B45" s="28" t="s">
        <v>14</v>
      </c>
      <c r="C45" s="29">
        <v>45723</v>
      </c>
      <c r="D45" s="28" t="s">
        <v>44</v>
      </c>
      <c r="E45" s="28" t="s">
        <v>92</v>
      </c>
      <c r="F45" s="28">
        <v>4750</v>
      </c>
      <c r="G45" s="28">
        <v>151</v>
      </c>
      <c r="H45" s="28">
        <v>415</v>
      </c>
      <c r="I45" s="28">
        <v>38000</v>
      </c>
      <c r="J45" s="28">
        <v>37792</v>
      </c>
      <c r="K45" s="28">
        <v>299</v>
      </c>
      <c r="L45" s="28" t="s">
        <v>33</v>
      </c>
      <c r="M45" s="30" t="s">
        <v>34</v>
      </c>
      <c r="N45" s="37">
        <f t="shared" si="0"/>
        <v>0.13989473684210527</v>
      </c>
    </row>
    <row r="46" spans="1:14" x14ac:dyDescent="0.25">
      <c r="A46" s="23" t="s">
        <v>93</v>
      </c>
      <c r="B46" s="24" t="s">
        <v>30</v>
      </c>
      <c r="C46" s="25">
        <v>45724</v>
      </c>
      <c r="D46" s="24" t="s">
        <v>15</v>
      </c>
      <c r="E46" s="24" t="s">
        <v>64</v>
      </c>
      <c r="F46" s="24">
        <v>456</v>
      </c>
      <c r="G46" s="24">
        <v>629</v>
      </c>
      <c r="H46" s="24">
        <v>428</v>
      </c>
      <c r="I46" s="24">
        <v>8208</v>
      </c>
      <c r="J46" s="24">
        <v>7377</v>
      </c>
      <c r="K46" s="24">
        <v>205</v>
      </c>
      <c r="L46" s="24" t="s">
        <v>51</v>
      </c>
      <c r="M46" s="26" t="s">
        <v>34</v>
      </c>
      <c r="N46" s="37">
        <f t="shared" si="0"/>
        <v>0.18433235867446393</v>
      </c>
    </row>
    <row r="47" spans="1:14" x14ac:dyDescent="0.25">
      <c r="A47" s="27" t="s">
        <v>94</v>
      </c>
      <c r="B47" s="28" t="s">
        <v>25</v>
      </c>
      <c r="C47" s="29">
        <v>45721</v>
      </c>
      <c r="D47" s="28" t="s">
        <v>15</v>
      </c>
      <c r="E47" s="28" t="s">
        <v>26</v>
      </c>
      <c r="F47" s="28">
        <v>1543</v>
      </c>
      <c r="G47" s="28">
        <v>820</v>
      </c>
      <c r="H47" s="28">
        <v>333</v>
      </c>
      <c r="I47" s="28">
        <v>12344</v>
      </c>
      <c r="J47" s="28">
        <v>11496</v>
      </c>
      <c r="K47" s="28">
        <v>241</v>
      </c>
      <c r="L47" s="28" t="s">
        <v>33</v>
      </c>
      <c r="M47" s="30"/>
      <c r="N47" s="37">
        <f t="shared" si="0"/>
        <v>0.21840570317563188</v>
      </c>
    </row>
    <row r="48" spans="1:14" x14ac:dyDescent="0.25">
      <c r="A48" s="23" t="s">
        <v>95</v>
      </c>
      <c r="B48" s="24" t="s">
        <v>30</v>
      </c>
      <c r="C48" s="25">
        <v>45640</v>
      </c>
      <c r="D48" s="24" t="s">
        <v>39</v>
      </c>
      <c r="E48" s="24" t="s">
        <v>68</v>
      </c>
      <c r="F48" s="24">
        <v>2174</v>
      </c>
      <c r="G48" s="24">
        <v>658</v>
      </c>
      <c r="H48" s="24">
        <v>15</v>
      </c>
      <c r="I48" s="24">
        <v>13044</v>
      </c>
      <c r="J48" s="24">
        <v>12206</v>
      </c>
      <c r="K48" s="24">
        <v>137</v>
      </c>
      <c r="L48" s="24" t="s">
        <v>27</v>
      </c>
      <c r="M48" s="26" t="s">
        <v>28</v>
      </c>
      <c r="N48" s="37">
        <f t="shared" si="0"/>
        <v>0.21826126954921804</v>
      </c>
    </row>
    <row r="49" spans="1:14" x14ac:dyDescent="0.25">
      <c r="A49" s="27" t="s">
        <v>96</v>
      </c>
      <c r="B49" s="28" t="s">
        <v>14</v>
      </c>
      <c r="C49" s="29">
        <v>45718</v>
      </c>
      <c r="D49" s="28" t="s">
        <v>44</v>
      </c>
      <c r="E49" s="28" t="s">
        <v>92</v>
      </c>
      <c r="F49" s="28">
        <v>2358</v>
      </c>
      <c r="G49" s="28">
        <v>784</v>
      </c>
      <c r="H49" s="28">
        <v>344</v>
      </c>
      <c r="I49" s="28">
        <v>35370</v>
      </c>
      <c r="J49" s="28">
        <v>34475</v>
      </c>
      <c r="K49" s="28">
        <v>216</v>
      </c>
      <c r="L49" s="28" t="s">
        <v>27</v>
      </c>
      <c r="M49" s="30"/>
      <c r="N49" s="37">
        <f t="shared" si="0"/>
        <v>9.8558100084817649E-2</v>
      </c>
    </row>
    <row r="50" spans="1:14" x14ac:dyDescent="0.25">
      <c r="A50" s="23" t="s">
        <v>97</v>
      </c>
      <c r="B50" s="24" t="s">
        <v>38</v>
      </c>
      <c r="C50" s="25">
        <v>45597</v>
      </c>
      <c r="D50" s="24" t="s">
        <v>59</v>
      </c>
      <c r="E50" s="24" t="s">
        <v>60</v>
      </c>
      <c r="F50" s="24">
        <v>3371</v>
      </c>
      <c r="G50" s="24">
        <v>106</v>
      </c>
      <c r="H50" s="24">
        <v>327</v>
      </c>
      <c r="I50" s="24">
        <v>50565</v>
      </c>
      <c r="J50" s="24">
        <v>49816</v>
      </c>
      <c r="K50" s="24">
        <v>176</v>
      </c>
      <c r="L50" s="24" t="s">
        <v>51</v>
      </c>
      <c r="M50" s="26" t="s">
        <v>18</v>
      </c>
      <c r="N50" s="37">
        <f t="shared" si="0"/>
        <v>7.5229902106199939E-2</v>
      </c>
    </row>
    <row r="51" spans="1:14" x14ac:dyDescent="0.25">
      <c r="A51" s="27" t="s">
        <v>98</v>
      </c>
      <c r="B51" s="28" t="s">
        <v>14</v>
      </c>
      <c r="C51" s="29">
        <v>45779</v>
      </c>
      <c r="D51" s="28" t="s">
        <v>59</v>
      </c>
      <c r="E51" s="28" t="s">
        <v>99</v>
      </c>
      <c r="F51" s="28">
        <v>1108</v>
      </c>
      <c r="G51" s="28">
        <v>177</v>
      </c>
      <c r="H51" s="28">
        <v>212</v>
      </c>
      <c r="I51" s="28">
        <v>8864</v>
      </c>
      <c r="J51" s="28">
        <v>8710</v>
      </c>
      <c r="K51" s="28">
        <v>97</v>
      </c>
      <c r="L51" s="28" t="s">
        <v>27</v>
      </c>
      <c r="M51" s="30" t="s">
        <v>34</v>
      </c>
      <c r="N51" s="37">
        <f t="shared" si="0"/>
        <v>0.16888537906137185</v>
      </c>
    </row>
    <row r="52" spans="1:14" x14ac:dyDescent="0.25">
      <c r="A52" s="23" t="s">
        <v>100</v>
      </c>
      <c r="B52" s="24" t="s">
        <v>14</v>
      </c>
      <c r="C52" s="25">
        <v>45712</v>
      </c>
      <c r="D52" s="24" t="s">
        <v>39</v>
      </c>
      <c r="E52" s="24" t="s">
        <v>42</v>
      </c>
      <c r="F52" s="24">
        <v>2704</v>
      </c>
      <c r="G52" s="24">
        <v>752</v>
      </c>
      <c r="H52" s="24">
        <v>153</v>
      </c>
      <c r="I52" s="24">
        <v>21632</v>
      </c>
      <c r="J52" s="24">
        <v>20792</v>
      </c>
      <c r="K52" s="24">
        <v>127</v>
      </c>
      <c r="L52" s="24" t="s">
        <v>51</v>
      </c>
      <c r="M52" s="26"/>
      <c r="N52" s="37">
        <f t="shared" si="0"/>
        <v>0.16683616863905326</v>
      </c>
    </row>
    <row r="53" spans="1:14" x14ac:dyDescent="0.25">
      <c r="A53" s="27" t="s">
        <v>101</v>
      </c>
      <c r="B53" s="28" t="s">
        <v>14</v>
      </c>
      <c r="C53" s="29">
        <v>45727</v>
      </c>
      <c r="D53" s="28" t="s">
        <v>31</v>
      </c>
      <c r="E53" s="28" t="s">
        <v>102</v>
      </c>
      <c r="F53" s="28">
        <v>1950</v>
      </c>
      <c r="G53" s="28">
        <v>295</v>
      </c>
      <c r="H53" s="28">
        <v>478</v>
      </c>
      <c r="I53" s="28">
        <v>37050</v>
      </c>
      <c r="J53" s="28">
        <v>36272</v>
      </c>
      <c r="K53" s="28">
        <v>119</v>
      </c>
      <c r="L53" s="28" t="s">
        <v>27</v>
      </c>
      <c r="M53" s="30"/>
      <c r="N53" s="37">
        <f t="shared" si="0"/>
        <v>7.349527665317139E-2</v>
      </c>
    </row>
    <row r="54" spans="1:14" x14ac:dyDescent="0.25">
      <c r="A54" s="23" t="s">
        <v>103</v>
      </c>
      <c r="B54" s="24" t="s">
        <v>14</v>
      </c>
      <c r="C54" s="25">
        <v>45453</v>
      </c>
      <c r="D54" s="24" t="s">
        <v>31</v>
      </c>
      <c r="E54" s="24" t="s">
        <v>102</v>
      </c>
      <c r="F54" s="24">
        <v>2164</v>
      </c>
      <c r="G54" s="24">
        <v>549</v>
      </c>
      <c r="H54" s="24">
        <v>274</v>
      </c>
      <c r="I54" s="24">
        <v>28132</v>
      </c>
      <c r="J54" s="24">
        <v>27361</v>
      </c>
      <c r="K54" s="24">
        <v>177</v>
      </c>
      <c r="L54" s="24" t="s">
        <v>27</v>
      </c>
      <c r="M54" s="26" t="s">
        <v>34</v>
      </c>
      <c r="N54" s="37">
        <f t="shared" si="0"/>
        <v>0.10617801791554102</v>
      </c>
    </row>
    <row r="55" spans="1:14" x14ac:dyDescent="0.25">
      <c r="A55" s="27" t="s">
        <v>104</v>
      </c>
      <c r="B55" s="28" t="s">
        <v>25</v>
      </c>
      <c r="C55" s="29">
        <v>45476</v>
      </c>
      <c r="D55" s="28" t="s">
        <v>31</v>
      </c>
      <c r="E55" s="28" t="s">
        <v>105</v>
      </c>
      <c r="F55" s="28">
        <v>2754</v>
      </c>
      <c r="G55" s="28">
        <v>130</v>
      </c>
      <c r="H55" s="28">
        <v>90</v>
      </c>
      <c r="I55" s="28">
        <v>22032</v>
      </c>
      <c r="J55" s="28">
        <v>21288</v>
      </c>
      <c r="K55" s="28">
        <v>112</v>
      </c>
      <c r="L55" s="28" t="s">
        <v>27</v>
      </c>
      <c r="M55" s="30" t="s">
        <v>28</v>
      </c>
      <c r="N55" s="37">
        <f t="shared" si="0"/>
        <v>0.13498547567175018</v>
      </c>
    </row>
    <row r="56" spans="1:14" x14ac:dyDescent="0.25">
      <c r="A56" s="23" t="s">
        <v>106</v>
      </c>
      <c r="B56" s="24" t="s">
        <v>38</v>
      </c>
      <c r="C56" s="25">
        <v>45456</v>
      </c>
      <c r="D56" s="24" t="s">
        <v>39</v>
      </c>
      <c r="E56" s="24" t="s">
        <v>40</v>
      </c>
      <c r="F56" s="24">
        <v>2200</v>
      </c>
      <c r="G56" s="24">
        <v>504</v>
      </c>
      <c r="H56" s="24">
        <v>239</v>
      </c>
      <c r="I56" s="24">
        <v>37400</v>
      </c>
      <c r="J56" s="24">
        <v>36938</v>
      </c>
      <c r="K56" s="24">
        <v>225</v>
      </c>
      <c r="L56" s="24" t="s">
        <v>51</v>
      </c>
      <c r="M56" s="26" t="s">
        <v>23</v>
      </c>
      <c r="N56" s="37">
        <f t="shared" si="0"/>
        <v>7.8689839572192513E-2</v>
      </c>
    </row>
    <row r="57" spans="1:14" x14ac:dyDescent="0.25">
      <c r="A57" s="27" t="s">
        <v>107</v>
      </c>
      <c r="B57" s="28" t="s">
        <v>38</v>
      </c>
      <c r="C57" s="29">
        <v>45660</v>
      </c>
      <c r="D57" s="28" t="s">
        <v>44</v>
      </c>
      <c r="E57" s="28" t="s">
        <v>49</v>
      </c>
      <c r="F57" s="28">
        <v>947</v>
      </c>
      <c r="G57" s="28">
        <v>338</v>
      </c>
      <c r="H57" s="28">
        <v>350</v>
      </c>
      <c r="I57" s="28">
        <v>10417</v>
      </c>
      <c r="J57" s="28">
        <v>9730</v>
      </c>
      <c r="K57" s="28">
        <v>34</v>
      </c>
      <c r="L57" s="28" t="s">
        <v>27</v>
      </c>
      <c r="M57" s="30" t="s">
        <v>34</v>
      </c>
      <c r="N57" s="37">
        <f t="shared" si="0"/>
        <v>0.1569549774407219</v>
      </c>
    </row>
    <row r="58" spans="1:14" x14ac:dyDescent="0.25">
      <c r="A58" s="23" t="s">
        <v>108</v>
      </c>
      <c r="B58" s="24" t="s">
        <v>25</v>
      </c>
      <c r="C58" s="25">
        <v>45712</v>
      </c>
      <c r="D58" s="24" t="s">
        <v>39</v>
      </c>
      <c r="E58" s="24" t="s">
        <v>55</v>
      </c>
      <c r="F58" s="24">
        <v>804</v>
      </c>
      <c r="G58" s="24">
        <v>639</v>
      </c>
      <c r="H58" s="24">
        <v>43</v>
      </c>
      <c r="I58" s="24">
        <v>4020</v>
      </c>
      <c r="J58" s="24">
        <v>3144</v>
      </c>
      <c r="K58" s="24">
        <v>11</v>
      </c>
      <c r="L58" s="24" t="s">
        <v>33</v>
      </c>
      <c r="M58" s="26"/>
      <c r="N58" s="37">
        <f t="shared" si="0"/>
        <v>0.36965174129353234</v>
      </c>
    </row>
    <row r="59" spans="1:14" x14ac:dyDescent="0.25">
      <c r="A59" s="27" t="s">
        <v>108</v>
      </c>
      <c r="B59" s="28" t="s">
        <v>25</v>
      </c>
      <c r="C59" s="29">
        <v>45712</v>
      </c>
      <c r="D59" s="28" t="s">
        <v>39</v>
      </c>
      <c r="E59" s="28" t="s">
        <v>55</v>
      </c>
      <c r="F59" s="28">
        <v>804</v>
      </c>
      <c r="G59" s="28">
        <v>639</v>
      </c>
      <c r="H59" s="28">
        <v>43</v>
      </c>
      <c r="I59" s="28">
        <v>4020</v>
      </c>
      <c r="J59" s="28">
        <v>3144</v>
      </c>
      <c r="K59" s="28">
        <v>11</v>
      </c>
      <c r="L59" s="28" t="s">
        <v>380</v>
      </c>
      <c r="M59" s="30"/>
      <c r="N59" s="37">
        <f t="shared" si="0"/>
        <v>0.36965174129353234</v>
      </c>
    </row>
    <row r="60" spans="1:14" x14ac:dyDescent="0.25">
      <c r="A60" s="23" t="s">
        <v>110</v>
      </c>
      <c r="B60" s="24" t="s">
        <v>25</v>
      </c>
      <c r="C60" s="25">
        <v>45729</v>
      </c>
      <c r="D60" s="24" t="s">
        <v>39</v>
      </c>
      <c r="E60" s="24" t="s">
        <v>55</v>
      </c>
      <c r="F60" s="24">
        <v>1686</v>
      </c>
      <c r="G60" s="24">
        <v>904</v>
      </c>
      <c r="H60" s="24">
        <v>472</v>
      </c>
      <c r="I60" s="24">
        <v>18546</v>
      </c>
      <c r="J60" s="24">
        <v>18171</v>
      </c>
      <c r="K60" s="24">
        <v>52</v>
      </c>
      <c r="L60" s="24" t="s">
        <v>51</v>
      </c>
      <c r="M60" s="26" t="s">
        <v>23</v>
      </c>
      <c r="N60" s="37">
        <f t="shared" si="0"/>
        <v>0.16510298716704411</v>
      </c>
    </row>
    <row r="61" spans="1:14" x14ac:dyDescent="0.25">
      <c r="A61" s="27" t="s">
        <v>111</v>
      </c>
      <c r="B61" s="28" t="s">
        <v>38</v>
      </c>
      <c r="C61" s="29">
        <v>45460</v>
      </c>
      <c r="D61" s="28" t="s">
        <v>44</v>
      </c>
      <c r="E61" s="28" t="s">
        <v>49</v>
      </c>
      <c r="F61" s="28">
        <v>1226</v>
      </c>
      <c r="G61" s="28">
        <v>119</v>
      </c>
      <c r="H61" s="28">
        <v>7</v>
      </c>
      <c r="I61" s="28">
        <v>14712</v>
      </c>
      <c r="J61" s="28">
        <v>14049</v>
      </c>
      <c r="K61" s="28">
        <v>123</v>
      </c>
      <c r="L61" s="28" t="s">
        <v>33</v>
      </c>
      <c r="M61" s="30" t="s">
        <v>34</v>
      </c>
      <c r="N61" s="37">
        <f t="shared" si="0"/>
        <v>9.1897770527460579E-2</v>
      </c>
    </row>
    <row r="62" spans="1:14" x14ac:dyDescent="0.25">
      <c r="A62" s="23" t="s">
        <v>112</v>
      </c>
      <c r="B62" s="24" t="s">
        <v>38</v>
      </c>
      <c r="C62" s="25">
        <v>45644</v>
      </c>
      <c r="D62" s="24" t="s">
        <v>39</v>
      </c>
      <c r="E62" s="24" t="s">
        <v>40</v>
      </c>
      <c r="F62" s="24">
        <v>2946</v>
      </c>
      <c r="G62" s="24">
        <v>498</v>
      </c>
      <c r="H62" s="24">
        <v>367</v>
      </c>
      <c r="I62" s="24">
        <v>29460</v>
      </c>
      <c r="J62" s="24">
        <v>28527</v>
      </c>
      <c r="K62" s="24">
        <v>60</v>
      </c>
      <c r="L62" s="24" t="s">
        <v>51</v>
      </c>
      <c r="M62" s="26" t="s">
        <v>28</v>
      </c>
      <c r="N62" s="37">
        <f t="shared" si="0"/>
        <v>0.12936184657162253</v>
      </c>
    </row>
    <row r="63" spans="1:14" x14ac:dyDescent="0.25">
      <c r="A63" s="27" t="s">
        <v>113</v>
      </c>
      <c r="B63" s="28" t="s">
        <v>14</v>
      </c>
      <c r="C63" s="29">
        <v>45586</v>
      </c>
      <c r="D63" s="28" t="s">
        <v>59</v>
      </c>
      <c r="E63" s="28" t="s">
        <v>99</v>
      </c>
      <c r="F63" s="28">
        <v>2825</v>
      </c>
      <c r="G63" s="28">
        <v>535</v>
      </c>
      <c r="H63" s="28">
        <v>295</v>
      </c>
      <c r="I63" s="28">
        <v>45200</v>
      </c>
      <c r="J63" s="28">
        <v>44739</v>
      </c>
      <c r="K63" s="28">
        <v>169</v>
      </c>
      <c r="L63" s="28" t="s">
        <v>27</v>
      </c>
      <c r="M63" s="30" t="s">
        <v>18</v>
      </c>
      <c r="N63" s="37">
        <f t="shared" si="0"/>
        <v>8.0862831858407078E-2</v>
      </c>
    </row>
    <row r="64" spans="1:14" x14ac:dyDescent="0.25">
      <c r="A64" s="23" t="s">
        <v>114</v>
      </c>
      <c r="B64" s="24" t="s">
        <v>30</v>
      </c>
      <c r="C64" s="25">
        <v>45762</v>
      </c>
      <c r="D64" s="24" t="s">
        <v>15</v>
      </c>
      <c r="E64" s="24" t="s">
        <v>64</v>
      </c>
      <c r="F64" s="24">
        <v>103</v>
      </c>
      <c r="G64" s="24">
        <v>770</v>
      </c>
      <c r="H64" s="24">
        <v>19</v>
      </c>
      <c r="I64" s="24">
        <v>1030</v>
      </c>
      <c r="J64" s="24">
        <v>410</v>
      </c>
      <c r="K64" s="24">
        <v>262</v>
      </c>
      <c r="L64" s="24" t="s">
        <v>27</v>
      </c>
      <c r="M64" s="26" t="s">
        <v>34</v>
      </c>
      <c r="N64" s="37">
        <f t="shared" si="0"/>
        <v>0.86601941747572819</v>
      </c>
    </row>
    <row r="65" spans="1:14" x14ac:dyDescent="0.25">
      <c r="A65" s="27" t="s">
        <v>115</v>
      </c>
      <c r="B65" s="28" t="s">
        <v>30</v>
      </c>
      <c r="C65" s="29">
        <v>45465</v>
      </c>
      <c r="D65" s="28" t="s">
        <v>20</v>
      </c>
      <c r="E65" s="28" t="s">
        <v>82</v>
      </c>
      <c r="F65" s="28">
        <v>2180</v>
      </c>
      <c r="G65" s="28">
        <v>263</v>
      </c>
      <c r="H65" s="28">
        <v>387</v>
      </c>
      <c r="I65" s="28">
        <v>30520</v>
      </c>
      <c r="J65" s="28">
        <v>30059</v>
      </c>
      <c r="K65" s="28">
        <v>174</v>
      </c>
      <c r="L65" s="28" t="s">
        <v>33</v>
      </c>
      <c r="M65" s="30"/>
      <c r="N65" s="37">
        <f t="shared" si="0"/>
        <v>9.2726081258191345E-2</v>
      </c>
    </row>
    <row r="66" spans="1:14" x14ac:dyDescent="0.25">
      <c r="A66" s="23" t="s">
        <v>116</v>
      </c>
      <c r="B66" s="24" t="s">
        <v>30</v>
      </c>
      <c r="C66" s="25">
        <v>45685</v>
      </c>
      <c r="D66" s="24" t="s">
        <v>59</v>
      </c>
      <c r="E66" s="24" t="s">
        <v>66</v>
      </c>
      <c r="F66" s="24">
        <v>904</v>
      </c>
      <c r="G66" s="24">
        <v>973</v>
      </c>
      <c r="H66" s="24">
        <v>63</v>
      </c>
      <c r="I66" s="24">
        <v>11752</v>
      </c>
      <c r="J66" s="24">
        <v>11580</v>
      </c>
      <c r="K66" s="24">
        <v>84</v>
      </c>
      <c r="L66" s="24" t="s">
        <v>33</v>
      </c>
      <c r="M66" s="26" t="s">
        <v>28</v>
      </c>
      <c r="N66" s="37">
        <f t="shared" si="0"/>
        <v>0.1650782845473111</v>
      </c>
    </row>
    <row r="67" spans="1:14" x14ac:dyDescent="0.25">
      <c r="A67" s="27" t="s">
        <v>116</v>
      </c>
      <c r="B67" s="28" t="s">
        <v>30</v>
      </c>
      <c r="C67" s="29">
        <v>45685</v>
      </c>
      <c r="D67" s="28" t="s">
        <v>59</v>
      </c>
      <c r="E67" s="28" t="s">
        <v>66</v>
      </c>
      <c r="F67" s="28">
        <v>904</v>
      </c>
      <c r="G67" s="28">
        <v>973</v>
      </c>
      <c r="H67" s="28">
        <v>63</v>
      </c>
      <c r="I67" s="28">
        <v>11752</v>
      </c>
      <c r="J67" s="28">
        <v>11580</v>
      </c>
      <c r="K67" s="28">
        <v>84</v>
      </c>
      <c r="L67" s="28" t="s">
        <v>27</v>
      </c>
      <c r="M67" s="30" t="s">
        <v>28</v>
      </c>
      <c r="N67" s="37">
        <f t="shared" ref="N67:N130" si="1">(F67+G67+H67)/I67</f>
        <v>0.1650782845473111</v>
      </c>
    </row>
    <row r="68" spans="1:14" x14ac:dyDescent="0.25">
      <c r="A68" s="23" t="s">
        <v>116</v>
      </c>
      <c r="B68" s="24" t="s">
        <v>30</v>
      </c>
      <c r="C68" s="25">
        <v>45685</v>
      </c>
      <c r="D68" s="24" t="s">
        <v>59</v>
      </c>
      <c r="E68" s="24" t="s">
        <v>66</v>
      </c>
      <c r="F68" s="24">
        <v>904</v>
      </c>
      <c r="G68" s="24">
        <v>973</v>
      </c>
      <c r="H68" s="24">
        <v>63</v>
      </c>
      <c r="I68" s="24">
        <v>11752</v>
      </c>
      <c r="J68" s="24">
        <v>11580</v>
      </c>
      <c r="K68" s="24">
        <v>84</v>
      </c>
      <c r="L68" s="24" t="s">
        <v>379</v>
      </c>
      <c r="M68" s="26" t="s">
        <v>28</v>
      </c>
      <c r="N68" s="37">
        <f t="shared" si="1"/>
        <v>0.1650782845473111</v>
      </c>
    </row>
    <row r="69" spans="1:14" x14ac:dyDescent="0.25">
      <c r="A69" s="27" t="s">
        <v>118</v>
      </c>
      <c r="B69" s="28" t="s">
        <v>14</v>
      </c>
      <c r="C69" s="29">
        <v>45540</v>
      </c>
      <c r="D69" s="28" t="s">
        <v>59</v>
      </c>
      <c r="E69" s="28" t="s">
        <v>99</v>
      </c>
      <c r="F69" s="28">
        <v>4886</v>
      </c>
      <c r="G69" s="28">
        <v>983</v>
      </c>
      <c r="H69" s="28">
        <v>409</v>
      </c>
      <c r="I69" s="28">
        <v>43974</v>
      </c>
      <c r="J69" s="28">
        <v>43239</v>
      </c>
      <c r="K69" s="28">
        <v>65</v>
      </c>
      <c r="L69" s="28" t="s">
        <v>27</v>
      </c>
      <c r="M69" s="30" t="s">
        <v>18</v>
      </c>
      <c r="N69" s="37">
        <f t="shared" si="1"/>
        <v>0.14276618001546368</v>
      </c>
    </row>
    <row r="70" spans="1:14" x14ac:dyDescent="0.25">
      <c r="A70" s="23" t="s">
        <v>119</v>
      </c>
      <c r="B70" s="24" t="s">
        <v>14</v>
      </c>
      <c r="C70" s="25">
        <v>45618</v>
      </c>
      <c r="D70" s="24" t="s">
        <v>39</v>
      </c>
      <c r="E70" s="24" t="s">
        <v>42</v>
      </c>
      <c r="F70" s="24">
        <v>53</v>
      </c>
      <c r="G70" s="24">
        <v>81</v>
      </c>
      <c r="H70" s="24">
        <v>379</v>
      </c>
      <c r="I70" s="24">
        <v>954</v>
      </c>
      <c r="J70" s="24">
        <v>7</v>
      </c>
      <c r="K70" s="24">
        <v>148</v>
      </c>
      <c r="L70" s="24" t="s">
        <v>27</v>
      </c>
      <c r="M70" s="26" t="s">
        <v>28</v>
      </c>
      <c r="N70" s="37">
        <f t="shared" si="1"/>
        <v>0.53773584905660377</v>
      </c>
    </row>
    <row r="71" spans="1:14" x14ac:dyDescent="0.25">
      <c r="A71" s="27" t="s">
        <v>120</v>
      </c>
      <c r="B71" s="28" t="s">
        <v>14</v>
      </c>
      <c r="C71" s="29">
        <v>45504</v>
      </c>
      <c r="D71" s="28" t="s">
        <v>39</v>
      </c>
      <c r="E71" s="28" t="s">
        <v>42</v>
      </c>
      <c r="F71" s="28">
        <v>4507</v>
      </c>
      <c r="G71" s="28">
        <v>217</v>
      </c>
      <c r="H71" s="28">
        <v>13</v>
      </c>
      <c r="I71" s="28">
        <v>90140</v>
      </c>
      <c r="J71" s="28">
        <v>89591</v>
      </c>
      <c r="K71" s="28">
        <v>125</v>
      </c>
      <c r="L71" s="28" t="s">
        <v>51</v>
      </c>
      <c r="M71" s="30" t="s">
        <v>28</v>
      </c>
      <c r="N71" s="37">
        <f t="shared" si="1"/>
        <v>5.2551586421122697E-2</v>
      </c>
    </row>
    <row r="72" spans="1:14" x14ac:dyDescent="0.25">
      <c r="A72" s="23" t="s">
        <v>121</v>
      </c>
      <c r="B72" s="24" t="s">
        <v>38</v>
      </c>
      <c r="C72" s="25">
        <v>45521</v>
      </c>
      <c r="D72" s="24" t="s">
        <v>44</v>
      </c>
      <c r="E72" s="24" t="s">
        <v>49</v>
      </c>
      <c r="F72" s="24">
        <v>2878</v>
      </c>
      <c r="G72" s="24">
        <v>248</v>
      </c>
      <c r="H72" s="24">
        <v>416</v>
      </c>
      <c r="I72" s="24">
        <v>43170</v>
      </c>
      <c r="J72" s="24">
        <v>42667</v>
      </c>
      <c r="K72" s="24">
        <v>75</v>
      </c>
      <c r="L72" s="24" t="s">
        <v>51</v>
      </c>
      <c r="M72" s="26" t="s">
        <v>28</v>
      </c>
      <c r="N72" s="37">
        <f t="shared" si="1"/>
        <v>8.2047718322909427E-2</v>
      </c>
    </row>
    <row r="73" spans="1:14" x14ac:dyDescent="0.25">
      <c r="A73" s="27" t="s">
        <v>122</v>
      </c>
      <c r="B73" s="28" t="s">
        <v>30</v>
      </c>
      <c r="C73" s="29">
        <v>45744</v>
      </c>
      <c r="D73" s="28" t="s">
        <v>31</v>
      </c>
      <c r="E73" s="28" t="s">
        <v>32</v>
      </c>
      <c r="F73" s="28">
        <v>1881</v>
      </c>
      <c r="G73" s="28">
        <v>501</v>
      </c>
      <c r="H73" s="28">
        <v>99</v>
      </c>
      <c r="I73" s="28">
        <v>20691</v>
      </c>
      <c r="J73" s="28">
        <v>19987</v>
      </c>
      <c r="K73" s="28">
        <v>289</v>
      </c>
      <c r="L73" s="28" t="s">
        <v>33</v>
      </c>
      <c r="M73" s="30"/>
      <c r="N73" s="37">
        <f t="shared" si="1"/>
        <v>0.11990720603160794</v>
      </c>
    </row>
    <row r="74" spans="1:14" x14ac:dyDescent="0.25">
      <c r="A74" s="23" t="s">
        <v>123</v>
      </c>
      <c r="B74" s="24" t="s">
        <v>14</v>
      </c>
      <c r="C74" s="25">
        <v>45499</v>
      </c>
      <c r="D74" s="24" t="s">
        <v>39</v>
      </c>
      <c r="E74" s="24" t="s">
        <v>42</v>
      </c>
      <c r="F74" s="24">
        <v>432</v>
      </c>
      <c r="G74" s="24">
        <v>171</v>
      </c>
      <c r="H74" s="24">
        <v>280</v>
      </c>
      <c r="I74" s="24">
        <v>3024</v>
      </c>
      <c r="J74" s="24">
        <v>2285</v>
      </c>
      <c r="K74" s="24">
        <v>184</v>
      </c>
      <c r="L74" s="24" t="s">
        <v>33</v>
      </c>
      <c r="M74" s="26" t="s">
        <v>18</v>
      </c>
      <c r="N74" s="37">
        <f t="shared" si="1"/>
        <v>0.29199735449735448</v>
      </c>
    </row>
    <row r="75" spans="1:14" x14ac:dyDescent="0.25">
      <c r="A75" s="27" t="s">
        <v>124</v>
      </c>
      <c r="B75" s="28" t="s">
        <v>38</v>
      </c>
      <c r="C75" s="29">
        <v>45745</v>
      </c>
      <c r="D75" s="28" t="s">
        <v>39</v>
      </c>
      <c r="E75" s="28" t="s">
        <v>40</v>
      </c>
      <c r="F75" s="28">
        <v>4712</v>
      </c>
      <c r="G75" s="28">
        <v>568</v>
      </c>
      <c r="H75" s="28">
        <v>127</v>
      </c>
      <c r="I75" s="28">
        <v>84816</v>
      </c>
      <c r="J75" s="28">
        <v>84691</v>
      </c>
      <c r="K75" s="28">
        <v>100</v>
      </c>
      <c r="L75" s="28" t="s">
        <v>33</v>
      </c>
      <c r="M75" s="30" t="s">
        <v>28</v>
      </c>
      <c r="N75" s="37">
        <f t="shared" si="1"/>
        <v>6.3749764195434822E-2</v>
      </c>
    </row>
    <row r="76" spans="1:14" x14ac:dyDescent="0.25">
      <c r="A76" s="23" t="s">
        <v>125</v>
      </c>
      <c r="B76" s="24" t="s">
        <v>30</v>
      </c>
      <c r="C76" s="25">
        <v>45634</v>
      </c>
      <c r="D76" s="24" t="s">
        <v>31</v>
      </c>
      <c r="E76" s="24" t="s">
        <v>32</v>
      </c>
      <c r="F76" s="24">
        <v>2610</v>
      </c>
      <c r="G76" s="24">
        <v>126</v>
      </c>
      <c r="H76" s="24">
        <v>288</v>
      </c>
      <c r="I76" s="24">
        <v>15660</v>
      </c>
      <c r="J76" s="24">
        <v>15145</v>
      </c>
      <c r="K76" s="24">
        <v>73</v>
      </c>
      <c r="L76" s="24" t="s">
        <v>33</v>
      </c>
      <c r="M76" s="26"/>
      <c r="N76" s="37">
        <f t="shared" si="1"/>
        <v>0.19310344827586207</v>
      </c>
    </row>
    <row r="77" spans="1:14" x14ac:dyDescent="0.25">
      <c r="A77" s="27" t="s">
        <v>126</v>
      </c>
      <c r="B77" s="28" t="s">
        <v>14</v>
      </c>
      <c r="C77" s="29">
        <v>45724</v>
      </c>
      <c r="D77" s="28" t="s">
        <v>20</v>
      </c>
      <c r="E77" s="28" t="s">
        <v>21</v>
      </c>
      <c r="F77" s="28">
        <v>1292</v>
      </c>
      <c r="G77" s="28">
        <v>626</v>
      </c>
      <c r="H77" s="28">
        <v>496</v>
      </c>
      <c r="I77" s="28">
        <v>25840</v>
      </c>
      <c r="J77" s="28">
        <v>24916</v>
      </c>
      <c r="K77" s="28">
        <v>149</v>
      </c>
      <c r="L77" s="28" t="s">
        <v>51</v>
      </c>
      <c r="M77" s="30" t="s">
        <v>28</v>
      </c>
      <c r="N77" s="37">
        <f t="shared" si="1"/>
        <v>9.3421052631578946E-2</v>
      </c>
    </row>
    <row r="78" spans="1:14" x14ac:dyDescent="0.25">
      <c r="A78" s="23" t="s">
        <v>127</v>
      </c>
      <c r="B78" s="24" t="s">
        <v>38</v>
      </c>
      <c r="C78" s="25">
        <v>45749</v>
      </c>
      <c r="D78" s="24" t="s">
        <v>59</v>
      </c>
      <c r="E78" s="24" t="s">
        <v>60</v>
      </c>
      <c r="F78" s="24">
        <v>199</v>
      </c>
      <c r="G78" s="24">
        <v>772</v>
      </c>
      <c r="H78" s="24">
        <v>400</v>
      </c>
      <c r="I78" s="24">
        <v>3582</v>
      </c>
      <c r="J78" s="24">
        <v>2988</v>
      </c>
      <c r="K78" s="24">
        <v>43</v>
      </c>
      <c r="L78" s="24" t="s">
        <v>27</v>
      </c>
      <c r="M78" s="26"/>
      <c r="N78" s="37">
        <f t="shared" si="1"/>
        <v>0.38274706867671693</v>
      </c>
    </row>
    <row r="79" spans="1:14" x14ac:dyDescent="0.25">
      <c r="A79" s="27" t="s">
        <v>128</v>
      </c>
      <c r="B79" s="28" t="s">
        <v>25</v>
      </c>
      <c r="C79" s="29">
        <v>45537</v>
      </c>
      <c r="D79" s="28" t="s">
        <v>39</v>
      </c>
      <c r="E79" s="28" t="s">
        <v>55</v>
      </c>
      <c r="F79" s="28">
        <v>2551</v>
      </c>
      <c r="G79" s="28">
        <v>915</v>
      </c>
      <c r="H79" s="28">
        <v>205</v>
      </c>
      <c r="I79" s="28">
        <v>30612</v>
      </c>
      <c r="J79" s="28">
        <v>30360</v>
      </c>
      <c r="K79" s="28">
        <v>227</v>
      </c>
      <c r="L79" s="28" t="s">
        <v>27</v>
      </c>
      <c r="M79" s="30" t="s">
        <v>23</v>
      </c>
      <c r="N79" s="37">
        <f t="shared" si="1"/>
        <v>0.1199202926956749</v>
      </c>
    </row>
    <row r="80" spans="1:14" x14ac:dyDescent="0.25">
      <c r="A80" s="23" t="s">
        <v>129</v>
      </c>
      <c r="B80" s="24" t="s">
        <v>25</v>
      </c>
      <c r="C80" s="25">
        <v>45719</v>
      </c>
      <c r="D80" s="24" t="s">
        <v>15</v>
      </c>
      <c r="E80" s="24" t="s">
        <v>26</v>
      </c>
      <c r="F80" s="24">
        <v>296</v>
      </c>
      <c r="G80" s="24">
        <v>60</v>
      </c>
      <c r="H80" s="24">
        <v>141</v>
      </c>
      <c r="I80" s="24">
        <v>5624</v>
      </c>
      <c r="J80" s="24">
        <v>5239</v>
      </c>
      <c r="K80" s="24">
        <v>88</v>
      </c>
      <c r="L80" s="24" t="s">
        <v>33</v>
      </c>
      <c r="M80" s="26" t="s">
        <v>23</v>
      </c>
      <c r="N80" s="37">
        <f t="shared" si="1"/>
        <v>8.837126600284495E-2</v>
      </c>
    </row>
    <row r="81" spans="1:14" x14ac:dyDescent="0.25">
      <c r="A81" s="27" t="s">
        <v>130</v>
      </c>
      <c r="B81" s="28" t="s">
        <v>38</v>
      </c>
      <c r="C81" s="29">
        <v>45583</v>
      </c>
      <c r="D81" s="28" t="s">
        <v>31</v>
      </c>
      <c r="E81" s="28" t="s">
        <v>57</v>
      </c>
      <c r="F81" s="28">
        <v>4126</v>
      </c>
      <c r="G81" s="28">
        <v>426</v>
      </c>
      <c r="H81" s="28">
        <v>486</v>
      </c>
      <c r="I81" s="28">
        <v>78394</v>
      </c>
      <c r="J81" s="28">
        <v>77798</v>
      </c>
      <c r="K81" s="28">
        <v>88</v>
      </c>
      <c r="L81" s="28" t="s">
        <v>51</v>
      </c>
      <c r="M81" s="30" t="s">
        <v>34</v>
      </c>
      <c r="N81" s="37">
        <f t="shared" si="1"/>
        <v>6.4265122330790625E-2</v>
      </c>
    </row>
    <row r="82" spans="1:14" x14ac:dyDescent="0.25">
      <c r="A82" s="23" t="s">
        <v>131</v>
      </c>
      <c r="B82" s="24" t="s">
        <v>25</v>
      </c>
      <c r="C82" s="25">
        <v>45593</v>
      </c>
      <c r="D82" s="24" t="s">
        <v>15</v>
      </c>
      <c r="E82" s="24" t="s">
        <v>26</v>
      </c>
      <c r="F82" s="24">
        <v>1855</v>
      </c>
      <c r="G82" s="24">
        <v>200</v>
      </c>
      <c r="H82" s="24">
        <v>174</v>
      </c>
      <c r="I82" s="24">
        <v>16695</v>
      </c>
      <c r="J82" s="24">
        <v>16330</v>
      </c>
      <c r="K82" s="24">
        <v>123</v>
      </c>
      <c r="L82" s="24" t="s">
        <v>27</v>
      </c>
      <c r="M82" s="26" t="s">
        <v>28</v>
      </c>
      <c r="N82" s="37">
        <f t="shared" si="1"/>
        <v>0.13351302785265048</v>
      </c>
    </row>
    <row r="83" spans="1:14" x14ac:dyDescent="0.25">
      <c r="A83" s="27" t="s">
        <v>132</v>
      </c>
      <c r="B83" s="28" t="s">
        <v>30</v>
      </c>
      <c r="C83" s="29">
        <v>45505</v>
      </c>
      <c r="D83" s="28" t="s">
        <v>15</v>
      </c>
      <c r="E83" s="28" t="s">
        <v>64</v>
      </c>
      <c r="F83" s="28">
        <v>1674</v>
      </c>
      <c r="G83" s="28">
        <v>929</v>
      </c>
      <c r="H83" s="28">
        <v>37</v>
      </c>
      <c r="I83" s="28">
        <v>21762</v>
      </c>
      <c r="J83" s="28">
        <v>20998</v>
      </c>
      <c r="K83" s="28">
        <v>255</v>
      </c>
      <c r="L83" s="28" t="s">
        <v>27</v>
      </c>
      <c r="M83" s="30" t="s">
        <v>34</v>
      </c>
      <c r="N83" s="37">
        <f t="shared" si="1"/>
        <v>0.12131237937689551</v>
      </c>
    </row>
    <row r="84" spans="1:14" x14ac:dyDescent="0.25">
      <c r="A84" s="23" t="s">
        <v>133</v>
      </c>
      <c r="B84" s="24" t="s">
        <v>14</v>
      </c>
      <c r="C84" s="25">
        <v>45603</v>
      </c>
      <c r="D84" s="24" t="s">
        <v>31</v>
      </c>
      <c r="E84" s="24" t="s">
        <v>102</v>
      </c>
      <c r="F84" s="24">
        <v>1121</v>
      </c>
      <c r="G84" s="24">
        <v>135</v>
      </c>
      <c r="H84" s="24">
        <v>18</v>
      </c>
      <c r="I84" s="24">
        <v>15694</v>
      </c>
      <c r="J84" s="24">
        <v>14957</v>
      </c>
      <c r="K84" s="24">
        <v>99</v>
      </c>
      <c r="L84" s="24" t="s">
        <v>27</v>
      </c>
      <c r="M84" s="26" t="s">
        <v>34</v>
      </c>
      <c r="N84" s="37">
        <f t="shared" si="1"/>
        <v>8.1177520071364848E-2</v>
      </c>
    </row>
    <row r="85" spans="1:14" x14ac:dyDescent="0.25">
      <c r="A85" s="27" t="s">
        <v>134</v>
      </c>
      <c r="B85" s="28" t="s">
        <v>38</v>
      </c>
      <c r="C85" s="29">
        <v>45720</v>
      </c>
      <c r="D85" s="28" t="s">
        <v>31</v>
      </c>
      <c r="E85" s="28" t="s">
        <v>57</v>
      </c>
      <c r="F85" s="28">
        <v>1249</v>
      </c>
      <c r="G85" s="28">
        <v>116</v>
      </c>
      <c r="H85" s="28">
        <v>420</v>
      </c>
      <c r="I85" s="28">
        <v>8743</v>
      </c>
      <c r="J85" s="28">
        <v>8538</v>
      </c>
      <c r="K85" s="28">
        <v>63</v>
      </c>
      <c r="L85" s="28" t="s">
        <v>27</v>
      </c>
      <c r="M85" s="30"/>
      <c r="N85" s="37">
        <f t="shared" si="1"/>
        <v>0.20416333066453163</v>
      </c>
    </row>
    <row r="86" spans="1:14" x14ac:dyDescent="0.25">
      <c r="A86" s="23" t="s">
        <v>135</v>
      </c>
      <c r="B86" s="24" t="s">
        <v>14</v>
      </c>
      <c r="C86" s="25">
        <v>45460</v>
      </c>
      <c r="D86" s="24" t="s">
        <v>44</v>
      </c>
      <c r="E86" s="24" t="s">
        <v>92</v>
      </c>
      <c r="F86" s="24">
        <v>954</v>
      </c>
      <c r="G86" s="24">
        <v>324</v>
      </c>
      <c r="H86" s="24">
        <v>288</v>
      </c>
      <c r="I86" s="24">
        <v>19080</v>
      </c>
      <c r="J86" s="24">
        <v>18859</v>
      </c>
      <c r="K86" s="24">
        <v>21</v>
      </c>
      <c r="L86" s="24" t="s">
        <v>51</v>
      </c>
      <c r="M86" s="26" t="s">
        <v>34</v>
      </c>
      <c r="N86" s="37">
        <f t="shared" si="1"/>
        <v>8.2075471698113203E-2</v>
      </c>
    </row>
    <row r="87" spans="1:14" x14ac:dyDescent="0.25">
      <c r="A87" s="27" t="s">
        <v>136</v>
      </c>
      <c r="B87" s="28" t="s">
        <v>30</v>
      </c>
      <c r="C87" s="29">
        <v>45574</v>
      </c>
      <c r="D87" s="28" t="s">
        <v>39</v>
      </c>
      <c r="E87" s="28" t="s">
        <v>68</v>
      </c>
      <c r="F87" s="28">
        <v>3068</v>
      </c>
      <c r="G87" s="28">
        <v>137</v>
      </c>
      <c r="H87" s="28">
        <v>329</v>
      </c>
      <c r="I87" s="28">
        <v>39884</v>
      </c>
      <c r="J87" s="28">
        <v>39404</v>
      </c>
      <c r="K87" s="28">
        <v>266</v>
      </c>
      <c r="L87" s="28" t="s">
        <v>33</v>
      </c>
      <c r="M87" s="30" t="s">
        <v>23</v>
      </c>
      <c r="N87" s="37">
        <f t="shared" si="1"/>
        <v>8.860696018453515E-2</v>
      </c>
    </row>
    <row r="88" spans="1:14" x14ac:dyDescent="0.25">
      <c r="A88" s="23" t="s">
        <v>137</v>
      </c>
      <c r="B88" s="24" t="s">
        <v>30</v>
      </c>
      <c r="C88" s="25">
        <v>45456</v>
      </c>
      <c r="D88" s="24" t="s">
        <v>31</v>
      </c>
      <c r="E88" s="24" t="s">
        <v>32</v>
      </c>
      <c r="F88" s="24">
        <v>2103</v>
      </c>
      <c r="G88" s="24">
        <v>892</v>
      </c>
      <c r="H88" s="24">
        <v>103</v>
      </c>
      <c r="I88" s="24">
        <v>39957</v>
      </c>
      <c r="J88" s="24">
        <v>39466</v>
      </c>
      <c r="K88" s="24">
        <v>28</v>
      </c>
      <c r="L88" s="24" t="s">
        <v>51</v>
      </c>
      <c r="M88" s="26"/>
      <c r="N88" s="37">
        <f t="shared" si="1"/>
        <v>7.7533348349475686E-2</v>
      </c>
    </row>
    <row r="89" spans="1:14" x14ac:dyDescent="0.25">
      <c r="A89" s="27" t="s">
        <v>138</v>
      </c>
      <c r="B89" s="28" t="s">
        <v>30</v>
      </c>
      <c r="C89" s="29">
        <v>45584</v>
      </c>
      <c r="D89" s="28" t="s">
        <v>31</v>
      </c>
      <c r="E89" s="28" t="s">
        <v>32</v>
      </c>
      <c r="F89" s="28">
        <v>1816</v>
      </c>
      <c r="G89" s="28">
        <v>29</v>
      </c>
      <c r="H89" s="28">
        <v>41</v>
      </c>
      <c r="I89" s="28">
        <v>19976</v>
      </c>
      <c r="J89" s="28">
        <v>19262</v>
      </c>
      <c r="K89" s="28">
        <v>283</v>
      </c>
      <c r="L89" s="28" t="s">
        <v>27</v>
      </c>
      <c r="M89" s="30" t="s">
        <v>28</v>
      </c>
      <c r="N89" s="37">
        <f t="shared" si="1"/>
        <v>9.4413295955146179E-2</v>
      </c>
    </row>
    <row r="90" spans="1:14" x14ac:dyDescent="0.25">
      <c r="A90" s="23" t="s">
        <v>139</v>
      </c>
      <c r="B90" s="24" t="s">
        <v>30</v>
      </c>
      <c r="C90" s="25">
        <v>45497</v>
      </c>
      <c r="D90" s="24" t="s">
        <v>44</v>
      </c>
      <c r="E90" s="24" t="s">
        <v>140</v>
      </c>
      <c r="F90" s="24">
        <v>725</v>
      </c>
      <c r="G90" s="24">
        <v>88</v>
      </c>
      <c r="H90" s="24">
        <v>428</v>
      </c>
      <c r="I90" s="24">
        <v>14500</v>
      </c>
      <c r="J90" s="24">
        <v>13637</v>
      </c>
      <c r="K90" s="24">
        <v>200</v>
      </c>
      <c r="L90" s="24" t="s">
        <v>51</v>
      </c>
      <c r="M90" s="26" t="s">
        <v>28</v>
      </c>
      <c r="N90" s="37">
        <f t="shared" si="1"/>
        <v>8.558620689655172E-2</v>
      </c>
    </row>
    <row r="91" spans="1:14" x14ac:dyDescent="0.25">
      <c r="A91" s="27" t="s">
        <v>139</v>
      </c>
      <c r="B91" s="28" t="s">
        <v>30</v>
      </c>
      <c r="C91" s="29">
        <v>45497</v>
      </c>
      <c r="D91" s="28" t="s">
        <v>44</v>
      </c>
      <c r="E91" s="28" t="s">
        <v>140</v>
      </c>
      <c r="F91" s="28">
        <v>725</v>
      </c>
      <c r="G91" s="28">
        <v>88</v>
      </c>
      <c r="H91" s="28">
        <v>428</v>
      </c>
      <c r="I91" s="28">
        <v>14500</v>
      </c>
      <c r="J91" s="28">
        <v>13637</v>
      </c>
      <c r="K91" s="28">
        <v>200</v>
      </c>
      <c r="L91" s="28" t="s">
        <v>27</v>
      </c>
      <c r="M91" s="30" t="s">
        <v>28</v>
      </c>
      <c r="N91" s="37">
        <f t="shared" si="1"/>
        <v>8.558620689655172E-2</v>
      </c>
    </row>
    <row r="92" spans="1:14" x14ac:dyDescent="0.25">
      <c r="A92" s="23" t="s">
        <v>139</v>
      </c>
      <c r="B92" s="24" t="s">
        <v>30</v>
      </c>
      <c r="C92" s="25">
        <v>45497</v>
      </c>
      <c r="D92" s="24" t="s">
        <v>44</v>
      </c>
      <c r="E92" s="24" t="s">
        <v>140</v>
      </c>
      <c r="F92" s="24">
        <v>725</v>
      </c>
      <c r="G92" s="24">
        <v>88</v>
      </c>
      <c r="H92" s="24">
        <v>428</v>
      </c>
      <c r="I92" s="24">
        <v>14500</v>
      </c>
      <c r="J92" s="24">
        <v>13637</v>
      </c>
      <c r="K92" s="24">
        <v>200</v>
      </c>
      <c r="L92" s="24" t="s">
        <v>379</v>
      </c>
      <c r="M92" s="26" t="s">
        <v>28</v>
      </c>
      <c r="N92" s="37">
        <f t="shared" si="1"/>
        <v>8.558620689655172E-2</v>
      </c>
    </row>
    <row r="93" spans="1:14" x14ac:dyDescent="0.25">
      <c r="A93" s="27" t="s">
        <v>142</v>
      </c>
      <c r="B93" s="28" t="s">
        <v>25</v>
      </c>
      <c r="C93" s="29">
        <v>45580</v>
      </c>
      <c r="D93" s="28" t="s">
        <v>59</v>
      </c>
      <c r="E93" s="28" t="s">
        <v>143</v>
      </c>
      <c r="F93" s="28">
        <v>1094</v>
      </c>
      <c r="G93" s="28">
        <v>472</v>
      </c>
      <c r="H93" s="28">
        <v>21</v>
      </c>
      <c r="I93" s="28">
        <v>9846</v>
      </c>
      <c r="J93" s="28">
        <v>9609</v>
      </c>
      <c r="K93" s="28">
        <v>112</v>
      </c>
      <c r="L93" s="28" t="s">
        <v>33</v>
      </c>
      <c r="M93" s="30"/>
      <c r="N93" s="37">
        <f t="shared" si="1"/>
        <v>0.16118220597196831</v>
      </c>
    </row>
    <row r="94" spans="1:14" x14ac:dyDescent="0.25">
      <c r="A94" s="23" t="s">
        <v>144</v>
      </c>
      <c r="B94" s="24" t="s">
        <v>38</v>
      </c>
      <c r="C94" s="25">
        <v>45635</v>
      </c>
      <c r="D94" s="24" t="s">
        <v>44</v>
      </c>
      <c r="E94" s="24" t="s">
        <v>49</v>
      </c>
      <c r="F94" s="24">
        <v>1841</v>
      </c>
      <c r="G94" s="24">
        <v>851</v>
      </c>
      <c r="H94" s="24">
        <v>342</v>
      </c>
      <c r="I94" s="24">
        <v>34979</v>
      </c>
      <c r="J94" s="24">
        <v>34154</v>
      </c>
      <c r="K94" s="24">
        <v>255</v>
      </c>
      <c r="L94" s="24" t="s">
        <v>51</v>
      </c>
      <c r="M94" s="26" t="s">
        <v>34</v>
      </c>
      <c r="N94" s="37">
        <f t="shared" si="1"/>
        <v>8.6737756939878216E-2</v>
      </c>
    </row>
    <row r="95" spans="1:14" x14ac:dyDescent="0.25">
      <c r="A95" s="27" t="s">
        <v>145</v>
      </c>
      <c r="B95" s="28" t="s">
        <v>30</v>
      </c>
      <c r="C95" s="29">
        <v>45766</v>
      </c>
      <c r="D95" s="28" t="s">
        <v>44</v>
      </c>
      <c r="E95" s="28" t="s">
        <v>140</v>
      </c>
      <c r="F95" s="28">
        <v>4177</v>
      </c>
      <c r="G95" s="28">
        <v>569</v>
      </c>
      <c r="H95" s="28">
        <v>55</v>
      </c>
      <c r="I95" s="28">
        <v>25062</v>
      </c>
      <c r="J95" s="28">
        <v>24847</v>
      </c>
      <c r="K95" s="28">
        <v>230</v>
      </c>
      <c r="L95" s="28" t="s">
        <v>51</v>
      </c>
      <c r="M95" s="30" t="s">
        <v>18</v>
      </c>
      <c r="N95" s="37">
        <f t="shared" si="1"/>
        <v>0.19156491900087783</v>
      </c>
    </row>
    <row r="96" spans="1:14" x14ac:dyDescent="0.25">
      <c r="A96" s="23" t="s">
        <v>146</v>
      </c>
      <c r="B96" s="24" t="s">
        <v>25</v>
      </c>
      <c r="C96" s="25">
        <v>45684</v>
      </c>
      <c r="D96" s="24" t="s">
        <v>20</v>
      </c>
      <c r="E96" s="24" t="s">
        <v>77</v>
      </c>
      <c r="F96" s="24">
        <v>3428</v>
      </c>
      <c r="G96" s="24">
        <v>305</v>
      </c>
      <c r="H96" s="24">
        <v>85</v>
      </c>
      <c r="I96" s="24">
        <v>58276</v>
      </c>
      <c r="J96" s="24">
        <v>58052</v>
      </c>
      <c r="K96" s="24">
        <v>242</v>
      </c>
      <c r="L96" s="24" t="s">
        <v>33</v>
      </c>
      <c r="M96" s="26" t="s">
        <v>34</v>
      </c>
      <c r="N96" s="37">
        <f t="shared" si="1"/>
        <v>6.5515821264328367E-2</v>
      </c>
    </row>
    <row r="97" spans="1:14" x14ac:dyDescent="0.25">
      <c r="A97" s="27" t="s">
        <v>146</v>
      </c>
      <c r="B97" s="28" t="s">
        <v>25</v>
      </c>
      <c r="C97" s="29">
        <v>45684</v>
      </c>
      <c r="D97" s="28" t="s">
        <v>20</v>
      </c>
      <c r="E97" s="28" t="s">
        <v>77</v>
      </c>
      <c r="F97" s="28">
        <v>3428</v>
      </c>
      <c r="G97" s="28">
        <v>305</v>
      </c>
      <c r="H97" s="28">
        <v>85</v>
      </c>
      <c r="I97" s="28">
        <v>58276</v>
      </c>
      <c r="J97" s="28">
        <v>58052</v>
      </c>
      <c r="K97" s="28">
        <v>242</v>
      </c>
      <c r="L97" s="28" t="s">
        <v>380</v>
      </c>
      <c r="M97" s="30" t="s">
        <v>34</v>
      </c>
      <c r="N97" s="37">
        <f t="shared" si="1"/>
        <v>6.5515821264328367E-2</v>
      </c>
    </row>
    <row r="98" spans="1:14" x14ac:dyDescent="0.25">
      <c r="A98" s="23" t="s">
        <v>147</v>
      </c>
      <c r="B98" s="24" t="s">
        <v>14</v>
      </c>
      <c r="C98" s="25">
        <v>45449</v>
      </c>
      <c r="D98" s="24" t="s">
        <v>59</v>
      </c>
      <c r="E98" s="24" t="s">
        <v>99</v>
      </c>
      <c r="F98" s="24">
        <v>1436</v>
      </c>
      <c r="G98" s="24">
        <v>765</v>
      </c>
      <c r="H98" s="24">
        <v>496</v>
      </c>
      <c r="I98" s="24">
        <v>12924</v>
      </c>
      <c r="J98" s="24">
        <v>12701</v>
      </c>
      <c r="K98" s="24">
        <v>197</v>
      </c>
      <c r="L98" s="24" t="s">
        <v>51</v>
      </c>
      <c r="M98" s="26" t="s">
        <v>28</v>
      </c>
      <c r="N98" s="37">
        <f t="shared" si="1"/>
        <v>0.20868152274837512</v>
      </c>
    </row>
    <row r="99" spans="1:14" x14ac:dyDescent="0.25">
      <c r="A99" s="27" t="s">
        <v>148</v>
      </c>
      <c r="B99" s="28" t="s">
        <v>38</v>
      </c>
      <c r="C99" s="29">
        <v>45480</v>
      </c>
      <c r="D99" s="28" t="s">
        <v>31</v>
      </c>
      <c r="E99" s="28" t="s">
        <v>57</v>
      </c>
      <c r="F99" s="28">
        <v>302</v>
      </c>
      <c r="G99" s="28">
        <v>47</v>
      </c>
      <c r="H99" s="28">
        <v>430</v>
      </c>
      <c r="I99" s="28">
        <v>5738</v>
      </c>
      <c r="J99" s="28">
        <v>4890</v>
      </c>
      <c r="K99" s="28">
        <v>25</v>
      </c>
      <c r="L99" s="28" t="s">
        <v>27</v>
      </c>
      <c r="M99" s="30" t="s">
        <v>34</v>
      </c>
      <c r="N99" s="37">
        <f t="shared" si="1"/>
        <v>0.13576158940397351</v>
      </c>
    </row>
    <row r="100" spans="1:14" x14ac:dyDescent="0.25">
      <c r="A100" s="23" t="s">
        <v>149</v>
      </c>
      <c r="B100" s="24" t="s">
        <v>14</v>
      </c>
      <c r="C100" s="25">
        <v>45667</v>
      </c>
      <c r="D100" s="24" t="s">
        <v>44</v>
      </c>
      <c r="E100" s="24" t="s">
        <v>92</v>
      </c>
      <c r="F100" s="24">
        <v>2214</v>
      </c>
      <c r="G100" s="24">
        <v>249</v>
      </c>
      <c r="H100" s="24">
        <v>152</v>
      </c>
      <c r="I100" s="24">
        <v>15498</v>
      </c>
      <c r="J100" s="24">
        <v>14800</v>
      </c>
      <c r="K100" s="24">
        <v>180</v>
      </c>
      <c r="L100" s="24" t="s">
        <v>33</v>
      </c>
      <c r="M100" s="26"/>
      <c r="N100" s="37">
        <f t="shared" si="1"/>
        <v>0.16873144921925409</v>
      </c>
    </row>
    <row r="101" spans="1:14" x14ac:dyDescent="0.25">
      <c r="A101" s="27" t="s">
        <v>150</v>
      </c>
      <c r="B101" s="28" t="s">
        <v>30</v>
      </c>
      <c r="C101" s="29">
        <v>45446</v>
      </c>
      <c r="D101" s="28" t="s">
        <v>44</v>
      </c>
      <c r="E101" s="28" t="s">
        <v>140</v>
      </c>
      <c r="F101" s="28">
        <v>3861</v>
      </c>
      <c r="G101" s="28">
        <v>960</v>
      </c>
      <c r="H101" s="28">
        <v>101</v>
      </c>
      <c r="I101" s="28">
        <v>69498</v>
      </c>
      <c r="J101" s="28">
        <v>68817</v>
      </c>
      <c r="K101" s="28">
        <v>297</v>
      </c>
      <c r="L101" s="28" t="s">
        <v>27</v>
      </c>
      <c r="M101" s="30" t="s">
        <v>34</v>
      </c>
      <c r="N101" s="37">
        <f t="shared" si="1"/>
        <v>7.0822181933293038E-2</v>
      </c>
    </row>
    <row r="102" spans="1:14" x14ac:dyDescent="0.25">
      <c r="A102" s="23" t="s">
        <v>151</v>
      </c>
      <c r="B102" s="24" t="s">
        <v>38</v>
      </c>
      <c r="C102" s="25">
        <v>45740</v>
      </c>
      <c r="D102" s="24" t="s">
        <v>44</v>
      </c>
      <c r="E102" s="24" t="s">
        <v>49</v>
      </c>
      <c r="F102" s="24">
        <v>1263</v>
      </c>
      <c r="G102" s="24">
        <v>397</v>
      </c>
      <c r="H102" s="24">
        <v>357</v>
      </c>
      <c r="I102" s="24">
        <v>25260</v>
      </c>
      <c r="J102" s="24">
        <v>24615</v>
      </c>
      <c r="K102" s="24">
        <v>137</v>
      </c>
      <c r="L102" s="24" t="s">
        <v>33</v>
      </c>
      <c r="M102" s="26" t="s">
        <v>34</v>
      </c>
      <c r="N102" s="37">
        <f t="shared" si="1"/>
        <v>7.984956452889945E-2</v>
      </c>
    </row>
    <row r="103" spans="1:14" x14ac:dyDescent="0.25">
      <c r="A103" s="27" t="s">
        <v>152</v>
      </c>
      <c r="B103" s="28" t="s">
        <v>14</v>
      </c>
      <c r="C103" s="29">
        <v>45586</v>
      </c>
      <c r="D103" s="28" t="s">
        <v>31</v>
      </c>
      <c r="E103" s="28" t="s">
        <v>102</v>
      </c>
      <c r="F103" s="28">
        <v>3801</v>
      </c>
      <c r="G103" s="28">
        <v>967</v>
      </c>
      <c r="H103" s="28">
        <v>401</v>
      </c>
      <c r="I103" s="28">
        <v>38010</v>
      </c>
      <c r="J103" s="28">
        <v>37625</v>
      </c>
      <c r="K103" s="28">
        <v>236</v>
      </c>
      <c r="L103" s="28" t="s">
        <v>51</v>
      </c>
      <c r="M103" s="30" t="s">
        <v>28</v>
      </c>
      <c r="N103" s="37">
        <f t="shared" si="1"/>
        <v>0.13599052880820836</v>
      </c>
    </row>
    <row r="104" spans="1:14" x14ac:dyDescent="0.25">
      <c r="A104" s="23" t="s">
        <v>153</v>
      </c>
      <c r="B104" s="24" t="s">
        <v>30</v>
      </c>
      <c r="C104" s="25">
        <v>45637</v>
      </c>
      <c r="D104" s="24" t="s">
        <v>59</v>
      </c>
      <c r="E104" s="24" t="s">
        <v>66</v>
      </c>
      <c r="F104" s="24">
        <v>1431</v>
      </c>
      <c r="G104" s="24">
        <v>951</v>
      </c>
      <c r="H104" s="24">
        <v>26</v>
      </c>
      <c r="I104" s="24">
        <v>8586</v>
      </c>
      <c r="J104" s="24">
        <v>8396</v>
      </c>
      <c r="K104" s="24">
        <v>150</v>
      </c>
      <c r="L104" s="24" t="s">
        <v>33</v>
      </c>
      <c r="M104" s="26" t="s">
        <v>28</v>
      </c>
      <c r="N104" s="37">
        <f t="shared" si="1"/>
        <v>0.28045655718611695</v>
      </c>
    </row>
    <row r="105" spans="1:14" x14ac:dyDescent="0.25">
      <c r="A105" s="27" t="s">
        <v>154</v>
      </c>
      <c r="B105" s="28" t="s">
        <v>30</v>
      </c>
      <c r="C105" s="29">
        <v>45603</v>
      </c>
      <c r="D105" s="28" t="s">
        <v>44</v>
      </c>
      <c r="E105" s="28" t="s">
        <v>140</v>
      </c>
      <c r="F105" s="28">
        <v>2647</v>
      </c>
      <c r="G105" s="28">
        <v>304</v>
      </c>
      <c r="H105" s="28">
        <v>170</v>
      </c>
      <c r="I105" s="28">
        <v>18529</v>
      </c>
      <c r="J105" s="28">
        <v>17841</v>
      </c>
      <c r="K105" s="28">
        <v>46</v>
      </c>
      <c r="L105" s="28" t="s">
        <v>51</v>
      </c>
      <c r="M105" s="30" t="s">
        <v>28</v>
      </c>
      <c r="N105" s="37">
        <f t="shared" si="1"/>
        <v>0.16843866371633656</v>
      </c>
    </row>
    <row r="106" spans="1:14" x14ac:dyDescent="0.25">
      <c r="A106" s="23" t="s">
        <v>155</v>
      </c>
      <c r="B106" s="24" t="s">
        <v>30</v>
      </c>
      <c r="C106" s="25">
        <v>45604</v>
      </c>
      <c r="D106" s="24" t="s">
        <v>20</v>
      </c>
      <c r="E106" s="24" t="s">
        <v>82</v>
      </c>
      <c r="F106" s="24">
        <v>3182</v>
      </c>
      <c r="G106" s="24">
        <v>559</v>
      </c>
      <c r="H106" s="24">
        <v>160</v>
      </c>
      <c r="I106" s="24">
        <v>57276</v>
      </c>
      <c r="J106" s="24">
        <v>56890</v>
      </c>
      <c r="K106" s="24">
        <v>163</v>
      </c>
      <c r="L106" s="24" t="s">
        <v>51</v>
      </c>
      <c r="M106" s="26" t="s">
        <v>34</v>
      </c>
      <c r="N106" s="37">
        <f t="shared" si="1"/>
        <v>6.8108806480899509E-2</v>
      </c>
    </row>
    <row r="107" spans="1:14" x14ac:dyDescent="0.25">
      <c r="A107" s="27" t="s">
        <v>156</v>
      </c>
      <c r="B107" s="28" t="s">
        <v>14</v>
      </c>
      <c r="C107" s="29">
        <v>45545</v>
      </c>
      <c r="D107" s="28" t="s">
        <v>44</v>
      </c>
      <c r="E107" s="28" t="s">
        <v>92</v>
      </c>
      <c r="F107" s="28">
        <v>1238</v>
      </c>
      <c r="G107" s="28">
        <v>366</v>
      </c>
      <c r="H107" s="28">
        <v>444</v>
      </c>
      <c r="I107" s="28">
        <v>19808</v>
      </c>
      <c r="J107" s="28">
        <v>19334</v>
      </c>
      <c r="K107" s="28">
        <v>123</v>
      </c>
      <c r="L107" s="28" t="s">
        <v>51</v>
      </c>
      <c r="M107" s="30"/>
      <c r="N107" s="37">
        <f t="shared" si="1"/>
        <v>0.10339256865912763</v>
      </c>
    </row>
    <row r="108" spans="1:14" x14ac:dyDescent="0.25">
      <c r="A108" s="23" t="s">
        <v>157</v>
      </c>
      <c r="B108" s="24" t="s">
        <v>30</v>
      </c>
      <c r="C108" s="25">
        <v>45517</v>
      </c>
      <c r="D108" s="24" t="s">
        <v>44</v>
      </c>
      <c r="E108" s="24" t="s">
        <v>140</v>
      </c>
      <c r="F108" s="24">
        <v>4739</v>
      </c>
      <c r="G108" s="24">
        <v>527</v>
      </c>
      <c r="H108" s="24">
        <v>135</v>
      </c>
      <c r="I108" s="24">
        <v>61607</v>
      </c>
      <c r="J108" s="24">
        <v>61333</v>
      </c>
      <c r="K108" s="24">
        <v>36</v>
      </c>
      <c r="L108" s="24" t="s">
        <v>27</v>
      </c>
      <c r="M108" s="26" t="s">
        <v>23</v>
      </c>
      <c r="N108" s="37">
        <f t="shared" si="1"/>
        <v>8.7668609086629767E-2</v>
      </c>
    </row>
    <row r="109" spans="1:14" x14ac:dyDescent="0.25">
      <c r="A109" s="27" t="s">
        <v>157</v>
      </c>
      <c r="B109" s="28" t="s">
        <v>30</v>
      </c>
      <c r="C109" s="29">
        <v>45517</v>
      </c>
      <c r="D109" s="28" t="s">
        <v>44</v>
      </c>
      <c r="E109" s="28" t="s">
        <v>140</v>
      </c>
      <c r="F109" s="28">
        <v>4739</v>
      </c>
      <c r="G109" s="28">
        <v>527</v>
      </c>
      <c r="H109" s="28">
        <v>135</v>
      </c>
      <c r="I109" s="28">
        <v>61607</v>
      </c>
      <c r="J109" s="28">
        <v>61333</v>
      </c>
      <c r="K109" s="28">
        <v>36</v>
      </c>
      <c r="L109" s="28" t="s">
        <v>379</v>
      </c>
      <c r="M109" s="30" t="s">
        <v>23</v>
      </c>
      <c r="N109" s="37">
        <f t="shared" si="1"/>
        <v>8.7668609086629767E-2</v>
      </c>
    </row>
    <row r="110" spans="1:14" x14ac:dyDescent="0.25">
      <c r="A110" s="23" t="s">
        <v>158</v>
      </c>
      <c r="B110" s="24" t="s">
        <v>14</v>
      </c>
      <c r="C110" s="25">
        <v>45453</v>
      </c>
      <c r="D110" s="24" t="s">
        <v>31</v>
      </c>
      <c r="E110" s="24" t="s">
        <v>102</v>
      </c>
      <c r="F110" s="24">
        <v>1575</v>
      </c>
      <c r="G110" s="24">
        <v>771</v>
      </c>
      <c r="H110" s="24">
        <v>486</v>
      </c>
      <c r="I110" s="24">
        <v>25200</v>
      </c>
      <c r="J110" s="24">
        <v>24826</v>
      </c>
      <c r="K110" s="24">
        <v>17</v>
      </c>
      <c r="L110" s="24" t="s">
        <v>51</v>
      </c>
      <c r="M110" s="26" t="s">
        <v>34</v>
      </c>
      <c r="N110" s="37">
        <f t="shared" si="1"/>
        <v>0.11238095238095239</v>
      </c>
    </row>
    <row r="111" spans="1:14" x14ac:dyDescent="0.25">
      <c r="A111" s="27" t="s">
        <v>159</v>
      </c>
      <c r="B111" s="28" t="s">
        <v>25</v>
      </c>
      <c r="C111" s="29">
        <v>45475</v>
      </c>
      <c r="D111" s="28" t="s">
        <v>39</v>
      </c>
      <c r="E111" s="28" t="s">
        <v>55</v>
      </c>
      <c r="F111" s="28">
        <v>4171</v>
      </c>
      <c r="G111" s="28">
        <v>548</v>
      </c>
      <c r="H111" s="28">
        <v>86</v>
      </c>
      <c r="I111" s="28">
        <v>66736</v>
      </c>
      <c r="J111" s="28">
        <v>66634</v>
      </c>
      <c r="K111" s="28">
        <v>173</v>
      </c>
      <c r="L111" s="28" t="s">
        <v>51</v>
      </c>
      <c r="M111" s="30" t="s">
        <v>28</v>
      </c>
      <c r="N111" s="37">
        <f t="shared" si="1"/>
        <v>7.2000119875329657E-2</v>
      </c>
    </row>
    <row r="112" spans="1:14" x14ac:dyDescent="0.25">
      <c r="A112" s="23" t="s">
        <v>160</v>
      </c>
      <c r="B112" s="24" t="s">
        <v>25</v>
      </c>
      <c r="C112" s="25">
        <v>45698</v>
      </c>
      <c r="D112" s="24" t="s">
        <v>59</v>
      </c>
      <c r="E112" s="24" t="s">
        <v>143</v>
      </c>
      <c r="F112" s="24">
        <v>1766</v>
      </c>
      <c r="G112" s="24">
        <v>92</v>
      </c>
      <c r="H112" s="24">
        <v>424</v>
      </c>
      <c r="I112" s="24">
        <v>24724</v>
      </c>
      <c r="J112" s="24">
        <v>24333</v>
      </c>
      <c r="K112" s="24">
        <v>52</v>
      </c>
      <c r="L112" s="24" t="s">
        <v>33</v>
      </c>
      <c r="M112" s="26"/>
      <c r="N112" s="37">
        <f t="shared" si="1"/>
        <v>9.2298980747451867E-2</v>
      </c>
    </row>
    <row r="113" spans="1:14" x14ac:dyDescent="0.25">
      <c r="A113" s="27" t="s">
        <v>161</v>
      </c>
      <c r="B113" s="28" t="s">
        <v>25</v>
      </c>
      <c r="C113" s="29">
        <v>45583</v>
      </c>
      <c r="D113" s="28" t="s">
        <v>59</v>
      </c>
      <c r="E113" s="28" t="s">
        <v>143</v>
      </c>
      <c r="F113" s="28">
        <v>4450</v>
      </c>
      <c r="G113" s="28">
        <v>983</v>
      </c>
      <c r="H113" s="28">
        <v>143</v>
      </c>
      <c r="I113" s="28">
        <v>75650</v>
      </c>
      <c r="J113" s="28">
        <v>75008</v>
      </c>
      <c r="K113" s="28">
        <v>12</v>
      </c>
      <c r="L113" s="28" t="s">
        <v>51</v>
      </c>
      <c r="M113" s="30" t="s">
        <v>28</v>
      </c>
      <c r="N113" s="37">
        <f t="shared" si="1"/>
        <v>7.3707865168539333E-2</v>
      </c>
    </row>
    <row r="114" spans="1:14" x14ac:dyDescent="0.25">
      <c r="A114" s="23" t="s">
        <v>162</v>
      </c>
      <c r="B114" s="24" t="s">
        <v>14</v>
      </c>
      <c r="C114" s="25">
        <v>45553</v>
      </c>
      <c r="D114" s="24" t="s">
        <v>15</v>
      </c>
      <c r="E114" s="24" t="s">
        <v>16</v>
      </c>
      <c r="F114" s="24">
        <v>1000</v>
      </c>
      <c r="G114" s="24">
        <v>978</v>
      </c>
      <c r="H114" s="24">
        <v>162</v>
      </c>
      <c r="I114" s="24">
        <v>6000</v>
      </c>
      <c r="J114" s="24">
        <v>5221</v>
      </c>
      <c r="K114" s="24">
        <v>223</v>
      </c>
      <c r="L114" s="24" t="s">
        <v>33</v>
      </c>
      <c r="M114" s="26" t="s">
        <v>23</v>
      </c>
      <c r="N114" s="37">
        <f t="shared" si="1"/>
        <v>0.35666666666666669</v>
      </c>
    </row>
    <row r="115" spans="1:14" x14ac:dyDescent="0.25">
      <c r="A115" s="27" t="s">
        <v>163</v>
      </c>
      <c r="B115" s="28" t="s">
        <v>38</v>
      </c>
      <c r="C115" s="29">
        <v>45454</v>
      </c>
      <c r="D115" s="28" t="s">
        <v>44</v>
      </c>
      <c r="E115" s="28" t="s">
        <v>49</v>
      </c>
      <c r="F115" s="28">
        <v>3689</v>
      </c>
      <c r="G115" s="28">
        <v>48</v>
      </c>
      <c r="H115" s="28">
        <v>306</v>
      </c>
      <c r="I115" s="28">
        <v>40579</v>
      </c>
      <c r="J115" s="28">
        <v>39588</v>
      </c>
      <c r="K115" s="28">
        <v>212</v>
      </c>
      <c r="L115" s="28" t="s">
        <v>33</v>
      </c>
      <c r="M115" s="30" t="s">
        <v>23</v>
      </c>
      <c r="N115" s="37">
        <f t="shared" si="1"/>
        <v>9.9632815002833983E-2</v>
      </c>
    </row>
    <row r="116" spans="1:14" x14ac:dyDescent="0.25">
      <c r="A116" s="23" t="s">
        <v>164</v>
      </c>
      <c r="B116" s="24" t="s">
        <v>25</v>
      </c>
      <c r="C116" s="25">
        <v>45739</v>
      </c>
      <c r="D116" s="24" t="s">
        <v>31</v>
      </c>
      <c r="E116" s="24" t="s">
        <v>105</v>
      </c>
      <c r="F116" s="24">
        <v>3655</v>
      </c>
      <c r="G116" s="24">
        <v>568</v>
      </c>
      <c r="H116" s="24">
        <v>286</v>
      </c>
      <c r="I116" s="24">
        <v>32895</v>
      </c>
      <c r="J116" s="24">
        <v>32015</v>
      </c>
      <c r="K116" s="24">
        <v>199</v>
      </c>
      <c r="L116" s="24" t="s">
        <v>27</v>
      </c>
      <c r="M116" s="26" t="s">
        <v>28</v>
      </c>
      <c r="N116" s="37">
        <f t="shared" si="1"/>
        <v>0.13707250341997265</v>
      </c>
    </row>
    <row r="117" spans="1:14" x14ac:dyDescent="0.25">
      <c r="A117" s="27" t="s">
        <v>165</v>
      </c>
      <c r="B117" s="28" t="s">
        <v>30</v>
      </c>
      <c r="C117" s="29">
        <v>45457</v>
      </c>
      <c r="D117" s="28" t="s">
        <v>39</v>
      </c>
      <c r="E117" s="28" t="s">
        <v>68</v>
      </c>
      <c r="F117" s="28">
        <v>498</v>
      </c>
      <c r="G117" s="28">
        <v>38</v>
      </c>
      <c r="H117" s="28">
        <v>42</v>
      </c>
      <c r="I117" s="28">
        <v>4482</v>
      </c>
      <c r="J117" s="28">
        <v>3647</v>
      </c>
      <c r="K117" s="28">
        <v>32</v>
      </c>
      <c r="L117" s="28" t="s">
        <v>51</v>
      </c>
      <c r="M117" s="30" t="s">
        <v>18</v>
      </c>
      <c r="N117" s="37">
        <f t="shared" si="1"/>
        <v>0.12896028558679162</v>
      </c>
    </row>
    <row r="118" spans="1:14" x14ac:dyDescent="0.25">
      <c r="A118" s="23" t="s">
        <v>166</v>
      </c>
      <c r="B118" s="24" t="s">
        <v>30</v>
      </c>
      <c r="C118" s="25">
        <v>45692</v>
      </c>
      <c r="D118" s="24" t="s">
        <v>44</v>
      </c>
      <c r="E118" s="24" t="s">
        <v>140</v>
      </c>
      <c r="F118" s="24">
        <v>4619</v>
      </c>
      <c r="G118" s="24">
        <v>821</v>
      </c>
      <c r="H118" s="24">
        <v>499</v>
      </c>
      <c r="I118" s="24">
        <v>69285</v>
      </c>
      <c r="J118" s="24">
        <v>69141</v>
      </c>
      <c r="K118" s="24">
        <v>298</v>
      </c>
      <c r="L118" s="24" t="s">
        <v>27</v>
      </c>
      <c r="M118" s="26" t="s">
        <v>34</v>
      </c>
      <c r="N118" s="37">
        <f t="shared" si="1"/>
        <v>8.5718409468138843E-2</v>
      </c>
    </row>
    <row r="119" spans="1:14" x14ac:dyDescent="0.25">
      <c r="A119" s="27" t="s">
        <v>167</v>
      </c>
      <c r="B119" s="28" t="s">
        <v>25</v>
      </c>
      <c r="C119" s="29">
        <v>45464</v>
      </c>
      <c r="D119" s="28" t="s">
        <v>44</v>
      </c>
      <c r="E119" s="28" t="s">
        <v>45</v>
      </c>
      <c r="F119" s="28">
        <v>4832</v>
      </c>
      <c r="G119" s="28">
        <v>893</v>
      </c>
      <c r="H119" s="28">
        <v>10</v>
      </c>
      <c r="I119" s="28">
        <v>91808</v>
      </c>
      <c r="J119" s="28">
        <v>91296</v>
      </c>
      <c r="K119" s="28">
        <v>182</v>
      </c>
      <c r="L119" s="28" t="s">
        <v>27</v>
      </c>
      <c r="M119" s="30"/>
      <c r="N119" s="37">
        <f t="shared" si="1"/>
        <v>6.2467323109097243E-2</v>
      </c>
    </row>
    <row r="120" spans="1:14" x14ac:dyDescent="0.25">
      <c r="A120" s="23" t="s">
        <v>168</v>
      </c>
      <c r="B120" s="24" t="s">
        <v>14</v>
      </c>
      <c r="C120" s="25">
        <v>45741</v>
      </c>
      <c r="D120" s="24" t="s">
        <v>59</v>
      </c>
      <c r="E120" s="24" t="s">
        <v>99</v>
      </c>
      <c r="F120" s="24">
        <v>4050</v>
      </c>
      <c r="G120" s="24">
        <v>871</v>
      </c>
      <c r="H120" s="24">
        <v>347</v>
      </c>
      <c r="I120" s="24">
        <v>52650</v>
      </c>
      <c r="J120" s="24">
        <v>51755</v>
      </c>
      <c r="K120" s="24">
        <v>209</v>
      </c>
      <c r="L120" s="24" t="s">
        <v>27</v>
      </c>
      <c r="M120" s="26" t="s">
        <v>23</v>
      </c>
      <c r="N120" s="37">
        <f t="shared" si="1"/>
        <v>0.10005698005698006</v>
      </c>
    </row>
    <row r="121" spans="1:14" x14ac:dyDescent="0.25">
      <c r="A121" s="27" t="s">
        <v>169</v>
      </c>
      <c r="B121" s="28" t="s">
        <v>14</v>
      </c>
      <c r="C121" s="29">
        <v>45512</v>
      </c>
      <c r="D121" s="28" t="s">
        <v>31</v>
      </c>
      <c r="E121" s="28" t="s">
        <v>102</v>
      </c>
      <c r="F121" s="28">
        <v>3649</v>
      </c>
      <c r="G121" s="28">
        <v>215</v>
      </c>
      <c r="H121" s="28">
        <v>413</v>
      </c>
      <c r="I121" s="28">
        <v>25543</v>
      </c>
      <c r="J121" s="28">
        <v>24963</v>
      </c>
      <c r="K121" s="28">
        <v>167</v>
      </c>
      <c r="L121" s="28" t="s">
        <v>51</v>
      </c>
      <c r="M121" s="30" t="s">
        <v>28</v>
      </c>
      <c r="N121" s="37">
        <f t="shared" si="1"/>
        <v>0.16744313510550835</v>
      </c>
    </row>
    <row r="122" spans="1:14" x14ac:dyDescent="0.25">
      <c r="A122" s="23" t="s">
        <v>170</v>
      </c>
      <c r="B122" s="24" t="s">
        <v>30</v>
      </c>
      <c r="C122" s="25">
        <v>45502</v>
      </c>
      <c r="D122" s="24" t="s">
        <v>15</v>
      </c>
      <c r="E122" s="24" t="s">
        <v>64</v>
      </c>
      <c r="F122" s="24">
        <v>3523</v>
      </c>
      <c r="G122" s="24">
        <v>753</v>
      </c>
      <c r="H122" s="24">
        <v>482</v>
      </c>
      <c r="I122" s="24">
        <v>38753</v>
      </c>
      <c r="J122" s="24">
        <v>38579</v>
      </c>
      <c r="K122" s="24">
        <v>270</v>
      </c>
      <c r="L122" s="24" t="s">
        <v>33</v>
      </c>
      <c r="M122" s="26" t="s">
        <v>23</v>
      </c>
      <c r="N122" s="37">
        <f t="shared" si="1"/>
        <v>0.12277759141227776</v>
      </c>
    </row>
    <row r="123" spans="1:14" x14ac:dyDescent="0.25">
      <c r="A123" s="27" t="s">
        <v>171</v>
      </c>
      <c r="B123" s="28" t="s">
        <v>25</v>
      </c>
      <c r="C123" s="29">
        <v>45619</v>
      </c>
      <c r="D123" s="28" t="s">
        <v>44</v>
      </c>
      <c r="E123" s="28" t="s">
        <v>45</v>
      </c>
      <c r="F123" s="28">
        <v>2719</v>
      </c>
      <c r="G123" s="28">
        <v>17</v>
      </c>
      <c r="H123" s="28">
        <v>285</v>
      </c>
      <c r="I123" s="28">
        <v>40785</v>
      </c>
      <c r="J123" s="28">
        <v>40281</v>
      </c>
      <c r="K123" s="28">
        <v>40</v>
      </c>
      <c r="L123" s="28" t="s">
        <v>27</v>
      </c>
      <c r="M123" s="30" t="s">
        <v>23</v>
      </c>
      <c r="N123" s="37">
        <f t="shared" si="1"/>
        <v>7.4071349760941527E-2</v>
      </c>
    </row>
    <row r="124" spans="1:14" x14ac:dyDescent="0.25">
      <c r="A124" s="23" t="s">
        <v>172</v>
      </c>
      <c r="B124" s="24" t="s">
        <v>14</v>
      </c>
      <c r="C124" s="25">
        <v>45570</v>
      </c>
      <c r="D124" s="24" t="s">
        <v>31</v>
      </c>
      <c r="E124" s="24" t="s">
        <v>102</v>
      </c>
      <c r="F124" s="24">
        <v>1957</v>
      </c>
      <c r="G124" s="24">
        <v>877</v>
      </c>
      <c r="H124" s="24">
        <v>238</v>
      </c>
      <c r="I124" s="24">
        <v>17613</v>
      </c>
      <c r="J124" s="24">
        <v>16865</v>
      </c>
      <c r="K124" s="24">
        <v>297</v>
      </c>
      <c r="L124" s="24" t="s">
        <v>51</v>
      </c>
      <c r="M124" s="26" t="s">
        <v>28</v>
      </c>
      <c r="N124" s="37">
        <f t="shared" si="1"/>
        <v>0.17441662408448305</v>
      </c>
    </row>
    <row r="125" spans="1:14" x14ac:dyDescent="0.25">
      <c r="A125" s="27" t="s">
        <v>173</v>
      </c>
      <c r="B125" s="28" t="s">
        <v>14</v>
      </c>
      <c r="C125" s="29">
        <v>45567</v>
      </c>
      <c r="D125" s="28" t="s">
        <v>39</v>
      </c>
      <c r="E125" s="28" t="s">
        <v>42</v>
      </c>
      <c r="F125" s="28">
        <v>4419</v>
      </c>
      <c r="G125" s="28">
        <v>236</v>
      </c>
      <c r="H125" s="28">
        <v>369</v>
      </c>
      <c r="I125" s="28">
        <v>44190</v>
      </c>
      <c r="J125" s="28">
        <v>43582</v>
      </c>
      <c r="K125" s="28">
        <v>10</v>
      </c>
      <c r="L125" s="28" t="s">
        <v>33</v>
      </c>
      <c r="M125" s="30" t="s">
        <v>18</v>
      </c>
      <c r="N125" s="37">
        <f t="shared" si="1"/>
        <v>0.11369088028965829</v>
      </c>
    </row>
    <row r="126" spans="1:14" x14ac:dyDescent="0.25">
      <c r="A126" s="23" t="s">
        <v>174</v>
      </c>
      <c r="B126" s="24" t="s">
        <v>14</v>
      </c>
      <c r="C126" s="25">
        <v>45610</v>
      </c>
      <c r="D126" s="24" t="s">
        <v>31</v>
      </c>
      <c r="E126" s="24" t="s">
        <v>102</v>
      </c>
      <c r="F126" s="24">
        <v>4000</v>
      </c>
      <c r="G126" s="24">
        <v>689</v>
      </c>
      <c r="H126" s="24">
        <v>488</v>
      </c>
      <c r="I126" s="24">
        <v>40000</v>
      </c>
      <c r="J126" s="24">
        <v>39569</v>
      </c>
      <c r="K126" s="24">
        <v>44</v>
      </c>
      <c r="L126" s="24" t="s">
        <v>51</v>
      </c>
      <c r="M126" s="26" t="s">
        <v>18</v>
      </c>
      <c r="N126" s="37">
        <f t="shared" si="1"/>
        <v>0.12942500000000001</v>
      </c>
    </row>
    <row r="127" spans="1:14" x14ac:dyDescent="0.25">
      <c r="A127" s="27" t="s">
        <v>175</v>
      </c>
      <c r="B127" s="28" t="s">
        <v>14</v>
      </c>
      <c r="C127" s="29">
        <v>45788</v>
      </c>
      <c r="D127" s="28" t="s">
        <v>44</v>
      </c>
      <c r="E127" s="28" t="s">
        <v>92</v>
      </c>
      <c r="F127" s="28">
        <v>2493</v>
      </c>
      <c r="G127" s="28">
        <v>97</v>
      </c>
      <c r="H127" s="28">
        <v>44</v>
      </c>
      <c r="I127" s="28">
        <v>42381</v>
      </c>
      <c r="J127" s="28">
        <v>41991</v>
      </c>
      <c r="K127" s="28">
        <v>242</v>
      </c>
      <c r="L127" s="28" t="s">
        <v>27</v>
      </c>
      <c r="M127" s="30" t="s">
        <v>34</v>
      </c>
      <c r="N127" s="37">
        <f t="shared" si="1"/>
        <v>6.2150491965739366E-2</v>
      </c>
    </row>
    <row r="128" spans="1:14" x14ac:dyDescent="0.25">
      <c r="A128" s="23" t="s">
        <v>175</v>
      </c>
      <c r="B128" s="24" t="s">
        <v>14</v>
      </c>
      <c r="C128" s="25">
        <v>45788</v>
      </c>
      <c r="D128" s="24" t="s">
        <v>44</v>
      </c>
      <c r="E128" s="24" t="s">
        <v>92</v>
      </c>
      <c r="F128" s="24">
        <v>2493</v>
      </c>
      <c r="G128" s="24">
        <v>97</v>
      </c>
      <c r="H128" s="24">
        <v>44</v>
      </c>
      <c r="I128" s="24">
        <v>42381</v>
      </c>
      <c r="J128" s="24">
        <v>41991</v>
      </c>
      <c r="K128" s="24">
        <v>242</v>
      </c>
      <c r="L128" s="24" t="s">
        <v>379</v>
      </c>
      <c r="M128" s="26" t="s">
        <v>34</v>
      </c>
      <c r="N128" s="37">
        <f t="shared" si="1"/>
        <v>6.2150491965739366E-2</v>
      </c>
    </row>
    <row r="129" spans="1:14" x14ac:dyDescent="0.25">
      <c r="A129" s="27" t="s">
        <v>176</v>
      </c>
      <c r="B129" s="28" t="s">
        <v>25</v>
      </c>
      <c r="C129" s="29">
        <v>45734</v>
      </c>
      <c r="D129" s="28" t="s">
        <v>15</v>
      </c>
      <c r="E129" s="28" t="s">
        <v>26</v>
      </c>
      <c r="F129" s="28">
        <v>3704</v>
      </c>
      <c r="G129" s="28">
        <v>186</v>
      </c>
      <c r="H129" s="28">
        <v>458</v>
      </c>
      <c r="I129" s="28">
        <v>25928</v>
      </c>
      <c r="J129" s="28">
        <v>25081</v>
      </c>
      <c r="K129" s="28">
        <v>131</v>
      </c>
      <c r="L129" s="28" t="s">
        <v>27</v>
      </c>
      <c r="M129" s="30"/>
      <c r="N129" s="37">
        <f t="shared" si="1"/>
        <v>0.16769515581610614</v>
      </c>
    </row>
    <row r="130" spans="1:14" x14ac:dyDescent="0.25">
      <c r="A130" s="23" t="s">
        <v>177</v>
      </c>
      <c r="B130" s="24" t="s">
        <v>14</v>
      </c>
      <c r="C130" s="25">
        <v>45600</v>
      </c>
      <c r="D130" s="24" t="s">
        <v>44</v>
      </c>
      <c r="E130" s="24" t="s">
        <v>92</v>
      </c>
      <c r="F130" s="24">
        <v>1606</v>
      </c>
      <c r="G130" s="24">
        <v>451</v>
      </c>
      <c r="H130" s="24">
        <v>405</v>
      </c>
      <c r="I130" s="24">
        <v>20878</v>
      </c>
      <c r="J130" s="24">
        <v>20190</v>
      </c>
      <c r="K130" s="24">
        <v>219</v>
      </c>
      <c r="L130" s="24" t="s">
        <v>33</v>
      </c>
      <c r="M130" s="26" t="s">
        <v>34</v>
      </c>
      <c r="N130" s="37">
        <f t="shared" si="1"/>
        <v>0.11792317271769326</v>
      </c>
    </row>
    <row r="131" spans="1:14" x14ac:dyDescent="0.25">
      <c r="A131" s="27" t="s">
        <v>178</v>
      </c>
      <c r="B131" s="28" t="s">
        <v>38</v>
      </c>
      <c r="C131" s="29">
        <v>45600</v>
      </c>
      <c r="D131" s="28" t="s">
        <v>44</v>
      </c>
      <c r="E131" s="28" t="s">
        <v>49</v>
      </c>
      <c r="F131" s="28">
        <v>4551</v>
      </c>
      <c r="G131" s="28">
        <v>714</v>
      </c>
      <c r="H131" s="28">
        <v>207</v>
      </c>
      <c r="I131" s="28">
        <v>68265</v>
      </c>
      <c r="J131" s="28">
        <v>67754</v>
      </c>
      <c r="K131" s="28">
        <v>57</v>
      </c>
      <c r="L131" s="28" t="s">
        <v>51</v>
      </c>
      <c r="M131" s="30" t="s">
        <v>28</v>
      </c>
      <c r="N131" s="37">
        <f t="shared" ref="N131:N194" si="2">(F131+G131+H131)/I131</f>
        <v>8.0158206987475278E-2</v>
      </c>
    </row>
    <row r="132" spans="1:14" x14ac:dyDescent="0.25">
      <c r="A132" s="23" t="s">
        <v>179</v>
      </c>
      <c r="B132" s="24" t="s">
        <v>30</v>
      </c>
      <c r="C132" s="25">
        <v>45695</v>
      </c>
      <c r="D132" s="24" t="s">
        <v>15</v>
      </c>
      <c r="E132" s="24" t="s">
        <v>64</v>
      </c>
      <c r="F132" s="24">
        <v>1970</v>
      </c>
      <c r="G132" s="24">
        <v>675</v>
      </c>
      <c r="H132" s="24">
        <v>478</v>
      </c>
      <c r="I132" s="24">
        <v>9850</v>
      </c>
      <c r="J132" s="24">
        <v>8924</v>
      </c>
      <c r="K132" s="24">
        <v>117</v>
      </c>
      <c r="L132" s="24" t="s">
        <v>51</v>
      </c>
      <c r="M132" s="26"/>
      <c r="N132" s="37">
        <f t="shared" si="2"/>
        <v>0.31705583756345179</v>
      </c>
    </row>
    <row r="133" spans="1:14" x14ac:dyDescent="0.25">
      <c r="A133" s="27" t="s">
        <v>180</v>
      </c>
      <c r="B133" s="28" t="s">
        <v>38</v>
      </c>
      <c r="C133" s="29">
        <v>45586</v>
      </c>
      <c r="D133" s="28" t="s">
        <v>31</v>
      </c>
      <c r="E133" s="28" t="s">
        <v>57</v>
      </c>
      <c r="F133" s="28">
        <v>780</v>
      </c>
      <c r="G133" s="28">
        <v>928</v>
      </c>
      <c r="H133" s="28">
        <v>301</v>
      </c>
      <c r="I133" s="28">
        <v>8580</v>
      </c>
      <c r="J133" s="28">
        <v>8081</v>
      </c>
      <c r="K133" s="28">
        <v>91</v>
      </c>
      <c r="L133" s="28" t="s">
        <v>33</v>
      </c>
      <c r="M133" s="30" t="s">
        <v>28</v>
      </c>
      <c r="N133" s="37">
        <f t="shared" si="2"/>
        <v>0.23414918414918415</v>
      </c>
    </row>
    <row r="134" spans="1:14" x14ac:dyDescent="0.25">
      <c r="A134" s="23" t="s">
        <v>181</v>
      </c>
      <c r="B134" s="24" t="s">
        <v>30</v>
      </c>
      <c r="C134" s="25">
        <v>45502</v>
      </c>
      <c r="D134" s="24" t="s">
        <v>31</v>
      </c>
      <c r="E134" s="24" t="s">
        <v>32</v>
      </c>
      <c r="F134" s="24">
        <v>498</v>
      </c>
      <c r="G134" s="24">
        <v>701</v>
      </c>
      <c r="H134" s="24">
        <v>412</v>
      </c>
      <c r="I134" s="24">
        <v>4980</v>
      </c>
      <c r="J134" s="24">
        <v>4185</v>
      </c>
      <c r="K134" s="24">
        <v>185</v>
      </c>
      <c r="L134" s="24" t="s">
        <v>51</v>
      </c>
      <c r="M134" s="26"/>
      <c r="N134" s="37">
        <f t="shared" si="2"/>
        <v>0.32349397590361445</v>
      </c>
    </row>
    <row r="135" spans="1:14" x14ac:dyDescent="0.25">
      <c r="A135" s="27" t="s">
        <v>182</v>
      </c>
      <c r="B135" s="28" t="s">
        <v>30</v>
      </c>
      <c r="C135" s="29">
        <v>45567</v>
      </c>
      <c r="D135" s="28" t="s">
        <v>20</v>
      </c>
      <c r="E135" s="28" t="s">
        <v>82</v>
      </c>
      <c r="F135" s="28">
        <v>3432</v>
      </c>
      <c r="G135" s="28">
        <v>869</v>
      </c>
      <c r="H135" s="28">
        <v>123</v>
      </c>
      <c r="I135" s="28">
        <v>54912</v>
      </c>
      <c r="J135" s="28">
        <v>53916</v>
      </c>
      <c r="K135" s="28">
        <v>264</v>
      </c>
      <c r="L135" s="28" t="s">
        <v>33</v>
      </c>
      <c r="M135" s="30" t="s">
        <v>23</v>
      </c>
      <c r="N135" s="37">
        <f t="shared" si="2"/>
        <v>8.0565268065268064E-2</v>
      </c>
    </row>
    <row r="136" spans="1:14" x14ac:dyDescent="0.25">
      <c r="A136" s="23" t="s">
        <v>183</v>
      </c>
      <c r="B136" s="24" t="s">
        <v>30</v>
      </c>
      <c r="C136" s="25">
        <v>45457</v>
      </c>
      <c r="D136" s="24" t="s">
        <v>31</v>
      </c>
      <c r="E136" s="24" t="s">
        <v>32</v>
      </c>
      <c r="F136" s="24">
        <v>4363</v>
      </c>
      <c r="G136" s="24">
        <v>649</v>
      </c>
      <c r="H136" s="24">
        <v>140</v>
      </c>
      <c r="I136" s="24">
        <v>21815</v>
      </c>
      <c r="J136" s="24">
        <v>21481</v>
      </c>
      <c r="K136" s="24">
        <v>157</v>
      </c>
      <c r="L136" s="24" t="s">
        <v>33</v>
      </c>
      <c r="M136" s="26" t="s">
        <v>18</v>
      </c>
      <c r="N136" s="37">
        <f t="shared" si="2"/>
        <v>0.23616777446710979</v>
      </c>
    </row>
    <row r="137" spans="1:14" x14ac:dyDescent="0.25">
      <c r="A137" s="27" t="s">
        <v>184</v>
      </c>
      <c r="B137" s="28" t="s">
        <v>25</v>
      </c>
      <c r="C137" s="29">
        <v>45753</v>
      </c>
      <c r="D137" s="28" t="s">
        <v>39</v>
      </c>
      <c r="E137" s="28" t="s">
        <v>55</v>
      </c>
      <c r="F137" s="28">
        <v>736</v>
      </c>
      <c r="G137" s="28">
        <v>771</v>
      </c>
      <c r="H137" s="28">
        <v>225</v>
      </c>
      <c r="I137" s="28">
        <v>5152</v>
      </c>
      <c r="J137" s="28">
        <v>4706</v>
      </c>
      <c r="K137" s="28">
        <v>19</v>
      </c>
      <c r="L137" s="28" t="s">
        <v>33</v>
      </c>
      <c r="M137" s="30" t="s">
        <v>18</v>
      </c>
      <c r="N137" s="37">
        <f t="shared" si="2"/>
        <v>0.33618012422360249</v>
      </c>
    </row>
    <row r="138" spans="1:14" x14ac:dyDescent="0.25">
      <c r="A138" s="23" t="s">
        <v>185</v>
      </c>
      <c r="B138" s="24" t="s">
        <v>14</v>
      </c>
      <c r="C138" s="25">
        <v>45543</v>
      </c>
      <c r="D138" s="24" t="s">
        <v>39</v>
      </c>
      <c r="E138" s="24" t="s">
        <v>42</v>
      </c>
      <c r="F138" s="24">
        <v>3811</v>
      </c>
      <c r="G138" s="24">
        <v>866</v>
      </c>
      <c r="H138" s="24">
        <v>216</v>
      </c>
      <c r="I138" s="24">
        <v>34299</v>
      </c>
      <c r="J138" s="24">
        <v>34088</v>
      </c>
      <c r="K138" s="24">
        <v>233</v>
      </c>
      <c r="L138" s="24" t="s">
        <v>27</v>
      </c>
      <c r="M138" s="26" t="s">
        <v>34</v>
      </c>
      <c r="N138" s="37">
        <f t="shared" si="2"/>
        <v>0.14265722032712325</v>
      </c>
    </row>
    <row r="139" spans="1:14" x14ac:dyDescent="0.25">
      <c r="A139" s="27" t="s">
        <v>186</v>
      </c>
      <c r="B139" s="28" t="s">
        <v>30</v>
      </c>
      <c r="C139" s="29">
        <v>45744</v>
      </c>
      <c r="D139" s="28" t="s">
        <v>39</v>
      </c>
      <c r="E139" s="28" t="s">
        <v>68</v>
      </c>
      <c r="F139" s="28">
        <v>4158</v>
      </c>
      <c r="G139" s="28">
        <v>167</v>
      </c>
      <c r="H139" s="28">
        <v>241</v>
      </c>
      <c r="I139" s="28">
        <v>45738</v>
      </c>
      <c r="J139" s="28">
        <v>45183</v>
      </c>
      <c r="K139" s="28">
        <v>142</v>
      </c>
      <c r="L139" s="28" t="s">
        <v>51</v>
      </c>
      <c r="M139" s="30"/>
      <c r="N139" s="37">
        <f t="shared" si="2"/>
        <v>9.9829463465827106E-2</v>
      </c>
    </row>
    <row r="140" spans="1:14" x14ac:dyDescent="0.25">
      <c r="A140" s="23" t="s">
        <v>187</v>
      </c>
      <c r="B140" s="24" t="s">
        <v>38</v>
      </c>
      <c r="C140" s="25">
        <v>45684</v>
      </c>
      <c r="D140" s="24" t="s">
        <v>15</v>
      </c>
      <c r="E140" s="24" t="s">
        <v>53</v>
      </c>
      <c r="F140" s="24">
        <v>3452</v>
      </c>
      <c r="G140" s="24">
        <v>652</v>
      </c>
      <c r="H140" s="24">
        <v>442</v>
      </c>
      <c r="I140" s="24">
        <v>65588</v>
      </c>
      <c r="J140" s="24">
        <v>65049</v>
      </c>
      <c r="K140" s="24">
        <v>158</v>
      </c>
      <c r="L140" s="24" t="s">
        <v>51</v>
      </c>
      <c r="M140" s="26" t="s">
        <v>28</v>
      </c>
      <c r="N140" s="37">
        <f t="shared" si="2"/>
        <v>6.9311459413307311E-2</v>
      </c>
    </row>
    <row r="141" spans="1:14" x14ac:dyDescent="0.25">
      <c r="A141" s="27" t="s">
        <v>188</v>
      </c>
      <c r="B141" s="28" t="s">
        <v>14</v>
      </c>
      <c r="C141" s="29">
        <v>45667</v>
      </c>
      <c r="D141" s="28" t="s">
        <v>44</v>
      </c>
      <c r="E141" s="28" t="s">
        <v>92</v>
      </c>
      <c r="F141" s="28">
        <v>3092</v>
      </c>
      <c r="G141" s="28">
        <v>106</v>
      </c>
      <c r="H141" s="28">
        <v>291</v>
      </c>
      <c r="I141" s="28">
        <v>27828</v>
      </c>
      <c r="J141" s="28">
        <v>27217</v>
      </c>
      <c r="K141" s="28">
        <v>102</v>
      </c>
      <c r="L141" s="28" t="s">
        <v>51</v>
      </c>
      <c r="M141" s="30"/>
      <c r="N141" s="37">
        <f t="shared" si="2"/>
        <v>0.12537731780940059</v>
      </c>
    </row>
    <row r="142" spans="1:14" x14ac:dyDescent="0.25">
      <c r="A142" s="23" t="s">
        <v>189</v>
      </c>
      <c r="B142" s="24" t="s">
        <v>14</v>
      </c>
      <c r="C142" s="25">
        <v>45494</v>
      </c>
      <c r="D142" s="24" t="s">
        <v>20</v>
      </c>
      <c r="E142" s="24" t="s">
        <v>21</v>
      </c>
      <c r="F142" s="24">
        <v>2147</v>
      </c>
      <c r="G142" s="24">
        <v>430</v>
      </c>
      <c r="H142" s="24">
        <v>393</v>
      </c>
      <c r="I142" s="24">
        <v>17176</v>
      </c>
      <c r="J142" s="24">
        <v>16483</v>
      </c>
      <c r="K142" s="24">
        <v>170</v>
      </c>
      <c r="L142" s="24" t="s">
        <v>27</v>
      </c>
      <c r="M142" s="26"/>
      <c r="N142" s="37">
        <f t="shared" si="2"/>
        <v>0.17291569632044715</v>
      </c>
    </row>
    <row r="143" spans="1:14" x14ac:dyDescent="0.25">
      <c r="A143" s="27" t="s">
        <v>190</v>
      </c>
      <c r="B143" s="28" t="s">
        <v>25</v>
      </c>
      <c r="C143" s="29">
        <v>45564</v>
      </c>
      <c r="D143" s="28" t="s">
        <v>15</v>
      </c>
      <c r="E143" s="28" t="s">
        <v>26</v>
      </c>
      <c r="F143" s="28">
        <v>2936</v>
      </c>
      <c r="G143" s="28">
        <v>439</v>
      </c>
      <c r="H143" s="28">
        <v>44</v>
      </c>
      <c r="I143" s="28">
        <v>38168</v>
      </c>
      <c r="J143" s="28">
        <v>37571</v>
      </c>
      <c r="K143" s="28">
        <v>22</v>
      </c>
      <c r="L143" s="28" t="s">
        <v>33</v>
      </c>
      <c r="M143" s="30" t="s">
        <v>34</v>
      </c>
      <c r="N143" s="37">
        <f t="shared" si="2"/>
        <v>8.9577656675749323E-2</v>
      </c>
    </row>
    <row r="144" spans="1:14" x14ac:dyDescent="0.25">
      <c r="A144" s="23" t="s">
        <v>191</v>
      </c>
      <c r="B144" s="24" t="s">
        <v>30</v>
      </c>
      <c r="C144" s="25">
        <v>45586</v>
      </c>
      <c r="D144" s="24" t="s">
        <v>15</v>
      </c>
      <c r="E144" s="24" t="s">
        <v>64</v>
      </c>
      <c r="F144" s="24">
        <v>4840</v>
      </c>
      <c r="G144" s="24">
        <v>658</v>
      </c>
      <c r="H144" s="24">
        <v>211</v>
      </c>
      <c r="I144" s="24">
        <v>43560</v>
      </c>
      <c r="J144" s="24">
        <v>43225</v>
      </c>
      <c r="K144" s="24">
        <v>57</v>
      </c>
      <c r="L144" s="24" t="s">
        <v>51</v>
      </c>
      <c r="M144" s="26" t="s">
        <v>28</v>
      </c>
      <c r="N144" s="37">
        <f t="shared" si="2"/>
        <v>0.13106060606060607</v>
      </c>
    </row>
    <row r="145" spans="1:14" x14ac:dyDescent="0.25">
      <c r="A145" s="27" t="s">
        <v>192</v>
      </c>
      <c r="B145" s="28" t="s">
        <v>30</v>
      </c>
      <c r="C145" s="29">
        <v>45720</v>
      </c>
      <c r="D145" s="28" t="s">
        <v>31</v>
      </c>
      <c r="E145" s="28" t="s">
        <v>32</v>
      </c>
      <c r="F145" s="28">
        <v>1947</v>
      </c>
      <c r="G145" s="28">
        <v>842</v>
      </c>
      <c r="H145" s="28">
        <v>101</v>
      </c>
      <c r="I145" s="28">
        <v>21417</v>
      </c>
      <c r="J145" s="28">
        <v>20967</v>
      </c>
      <c r="K145" s="28">
        <v>186</v>
      </c>
      <c r="L145" s="28" t="s">
        <v>51</v>
      </c>
      <c r="M145" s="30" t="s">
        <v>23</v>
      </c>
      <c r="N145" s="37">
        <f t="shared" si="2"/>
        <v>0.13493953401503478</v>
      </c>
    </row>
    <row r="146" spans="1:14" x14ac:dyDescent="0.25">
      <c r="A146" s="23" t="s">
        <v>193</v>
      </c>
      <c r="B146" s="24" t="s">
        <v>38</v>
      </c>
      <c r="C146" s="25">
        <v>45694</v>
      </c>
      <c r="D146" s="24" t="s">
        <v>44</v>
      </c>
      <c r="E146" s="24" t="s">
        <v>49</v>
      </c>
      <c r="F146" s="24">
        <v>2072</v>
      </c>
      <c r="G146" s="24">
        <v>532</v>
      </c>
      <c r="H146" s="24">
        <v>71</v>
      </c>
      <c r="I146" s="24">
        <v>37296</v>
      </c>
      <c r="J146" s="24">
        <v>36467</v>
      </c>
      <c r="K146" s="24">
        <v>25</v>
      </c>
      <c r="L146" s="24" t="s">
        <v>27</v>
      </c>
      <c r="M146" s="26" t="s">
        <v>34</v>
      </c>
      <c r="N146" s="37">
        <f t="shared" si="2"/>
        <v>7.172350922350923E-2</v>
      </c>
    </row>
    <row r="147" spans="1:14" x14ac:dyDescent="0.25">
      <c r="A147" s="27" t="s">
        <v>194</v>
      </c>
      <c r="B147" s="28" t="s">
        <v>14</v>
      </c>
      <c r="C147" s="29">
        <v>45771</v>
      </c>
      <c r="D147" s="28" t="s">
        <v>15</v>
      </c>
      <c r="E147" s="28" t="s">
        <v>16</v>
      </c>
      <c r="F147" s="28">
        <v>3731</v>
      </c>
      <c r="G147" s="28">
        <v>115</v>
      </c>
      <c r="H147" s="28">
        <v>135</v>
      </c>
      <c r="I147" s="28">
        <v>55965</v>
      </c>
      <c r="J147" s="28">
        <v>55436</v>
      </c>
      <c r="K147" s="28">
        <v>103</v>
      </c>
      <c r="L147" s="28" t="s">
        <v>27</v>
      </c>
      <c r="M147" s="30" t="s">
        <v>18</v>
      </c>
      <c r="N147" s="37">
        <f t="shared" si="2"/>
        <v>7.1133744304476013E-2</v>
      </c>
    </row>
    <row r="148" spans="1:14" x14ac:dyDescent="0.25">
      <c r="A148" s="23" t="s">
        <v>195</v>
      </c>
      <c r="B148" s="24" t="s">
        <v>38</v>
      </c>
      <c r="C148" s="25">
        <v>45624</v>
      </c>
      <c r="D148" s="24" t="s">
        <v>20</v>
      </c>
      <c r="E148" s="24" t="s">
        <v>47</v>
      </c>
      <c r="F148" s="24">
        <v>4213</v>
      </c>
      <c r="G148" s="24">
        <v>253</v>
      </c>
      <c r="H148" s="24">
        <v>434</v>
      </c>
      <c r="I148" s="24">
        <v>75834</v>
      </c>
      <c r="J148" s="24">
        <v>75437</v>
      </c>
      <c r="K148" s="24">
        <v>272</v>
      </c>
      <c r="L148" s="24" t="s">
        <v>51</v>
      </c>
      <c r="M148" s="26" t="s">
        <v>34</v>
      </c>
      <c r="N148" s="37">
        <f t="shared" si="2"/>
        <v>6.461481657304112E-2</v>
      </c>
    </row>
    <row r="149" spans="1:14" x14ac:dyDescent="0.25">
      <c r="A149" s="27" t="s">
        <v>196</v>
      </c>
      <c r="B149" s="28" t="s">
        <v>30</v>
      </c>
      <c r="C149" s="29">
        <v>45484</v>
      </c>
      <c r="D149" s="28" t="s">
        <v>20</v>
      </c>
      <c r="E149" s="28" t="s">
        <v>82</v>
      </c>
      <c r="F149" s="28">
        <v>3134</v>
      </c>
      <c r="G149" s="28">
        <v>888</v>
      </c>
      <c r="H149" s="28">
        <v>444</v>
      </c>
      <c r="I149" s="28">
        <v>21938</v>
      </c>
      <c r="J149" s="28">
        <v>21337</v>
      </c>
      <c r="K149" s="28">
        <v>130</v>
      </c>
      <c r="L149" s="28" t="s">
        <v>33</v>
      </c>
      <c r="M149" s="30" t="s">
        <v>34</v>
      </c>
      <c r="N149" s="37">
        <f t="shared" si="2"/>
        <v>0.20357370772176134</v>
      </c>
    </row>
    <row r="150" spans="1:14" x14ac:dyDescent="0.25">
      <c r="A150" s="23" t="s">
        <v>197</v>
      </c>
      <c r="B150" s="24" t="s">
        <v>38</v>
      </c>
      <c r="C150" s="25">
        <v>45504</v>
      </c>
      <c r="D150" s="24" t="s">
        <v>59</v>
      </c>
      <c r="E150" s="24" t="s">
        <v>60</v>
      </c>
      <c r="F150" s="24">
        <v>3008</v>
      </c>
      <c r="G150" s="24">
        <v>94</v>
      </c>
      <c r="H150" s="24">
        <v>37</v>
      </c>
      <c r="I150" s="24">
        <v>15040</v>
      </c>
      <c r="J150" s="24">
        <v>14639</v>
      </c>
      <c r="K150" s="24">
        <v>277</v>
      </c>
      <c r="L150" s="24" t="s">
        <v>51</v>
      </c>
      <c r="M150" s="26"/>
      <c r="N150" s="37">
        <f t="shared" si="2"/>
        <v>0.20871010638297871</v>
      </c>
    </row>
    <row r="151" spans="1:14" x14ac:dyDescent="0.25">
      <c r="A151" s="27" t="s">
        <v>198</v>
      </c>
      <c r="B151" s="28" t="s">
        <v>14</v>
      </c>
      <c r="C151" s="29">
        <v>45745</v>
      </c>
      <c r="D151" s="28" t="s">
        <v>44</v>
      </c>
      <c r="E151" s="28" t="s">
        <v>92</v>
      </c>
      <c r="F151" s="28">
        <v>305</v>
      </c>
      <c r="G151" s="28">
        <v>187</v>
      </c>
      <c r="H151" s="28">
        <v>243</v>
      </c>
      <c r="I151" s="28">
        <v>4575</v>
      </c>
      <c r="J151" s="28">
        <v>3704</v>
      </c>
      <c r="K151" s="28">
        <v>234</v>
      </c>
      <c r="L151" s="28" t="s">
        <v>51</v>
      </c>
      <c r="M151" s="30" t="s">
        <v>28</v>
      </c>
      <c r="N151" s="37">
        <f t="shared" si="2"/>
        <v>0.16065573770491803</v>
      </c>
    </row>
    <row r="152" spans="1:14" x14ac:dyDescent="0.25">
      <c r="A152" s="23" t="s">
        <v>199</v>
      </c>
      <c r="B152" s="24" t="s">
        <v>25</v>
      </c>
      <c r="C152" s="25">
        <v>45594</v>
      </c>
      <c r="D152" s="24" t="s">
        <v>20</v>
      </c>
      <c r="E152" s="24" t="s">
        <v>77</v>
      </c>
      <c r="F152" s="24">
        <v>2746</v>
      </c>
      <c r="G152" s="24">
        <v>156</v>
      </c>
      <c r="H152" s="24">
        <v>203</v>
      </c>
      <c r="I152" s="24">
        <v>32952</v>
      </c>
      <c r="J152" s="24">
        <v>32147</v>
      </c>
      <c r="K152" s="24">
        <v>147</v>
      </c>
      <c r="L152" s="24" t="s">
        <v>33</v>
      </c>
      <c r="M152" s="26" t="s">
        <v>18</v>
      </c>
      <c r="N152" s="37">
        <f t="shared" si="2"/>
        <v>9.422796795338674E-2</v>
      </c>
    </row>
    <row r="153" spans="1:14" x14ac:dyDescent="0.25">
      <c r="A153" s="27" t="s">
        <v>200</v>
      </c>
      <c r="B153" s="28" t="s">
        <v>38</v>
      </c>
      <c r="C153" s="29">
        <v>45488</v>
      </c>
      <c r="D153" s="28" t="s">
        <v>44</v>
      </c>
      <c r="E153" s="28" t="s">
        <v>49</v>
      </c>
      <c r="F153" s="28">
        <v>2291</v>
      </c>
      <c r="G153" s="28">
        <v>78</v>
      </c>
      <c r="H153" s="28">
        <v>485</v>
      </c>
      <c r="I153" s="28">
        <v>18328</v>
      </c>
      <c r="J153" s="28">
        <v>18101</v>
      </c>
      <c r="K153" s="28">
        <v>10</v>
      </c>
      <c r="L153" s="28" t="s">
        <v>33</v>
      </c>
      <c r="M153" s="30" t="s">
        <v>23</v>
      </c>
      <c r="N153" s="37">
        <f t="shared" si="2"/>
        <v>0.15571802706241816</v>
      </c>
    </row>
    <row r="154" spans="1:14" x14ac:dyDescent="0.25">
      <c r="A154" s="23" t="s">
        <v>200</v>
      </c>
      <c r="B154" s="24" t="s">
        <v>38</v>
      </c>
      <c r="C154" s="25">
        <v>45488</v>
      </c>
      <c r="D154" s="24" t="s">
        <v>44</v>
      </c>
      <c r="E154" s="24" t="s">
        <v>49</v>
      </c>
      <c r="F154" s="24">
        <v>2291</v>
      </c>
      <c r="G154" s="24">
        <v>78</v>
      </c>
      <c r="H154" s="24">
        <v>485</v>
      </c>
      <c r="I154" s="24">
        <v>18328</v>
      </c>
      <c r="J154" s="24">
        <v>18101</v>
      </c>
      <c r="K154" s="24">
        <v>10</v>
      </c>
      <c r="L154" s="24" t="s">
        <v>381</v>
      </c>
      <c r="M154" s="26" t="s">
        <v>23</v>
      </c>
      <c r="N154" s="37">
        <f t="shared" si="2"/>
        <v>0.15571802706241816</v>
      </c>
    </row>
    <row r="155" spans="1:14" x14ac:dyDescent="0.25">
      <c r="A155" s="27" t="s">
        <v>202</v>
      </c>
      <c r="B155" s="28" t="s">
        <v>14</v>
      </c>
      <c r="C155" s="29">
        <v>45535</v>
      </c>
      <c r="D155" s="28" t="s">
        <v>44</v>
      </c>
      <c r="E155" s="28" t="s">
        <v>92</v>
      </c>
      <c r="F155" s="28">
        <v>3170</v>
      </c>
      <c r="G155" s="28">
        <v>857</v>
      </c>
      <c r="H155" s="28">
        <v>379</v>
      </c>
      <c r="I155" s="28">
        <v>19020</v>
      </c>
      <c r="J155" s="28">
        <v>18559</v>
      </c>
      <c r="K155" s="28">
        <v>240</v>
      </c>
      <c r="L155" s="28" t="s">
        <v>51</v>
      </c>
      <c r="M155" s="30"/>
      <c r="N155" s="37">
        <f t="shared" si="2"/>
        <v>0.2316508937960042</v>
      </c>
    </row>
    <row r="156" spans="1:14" x14ac:dyDescent="0.25">
      <c r="A156" s="23" t="s">
        <v>203</v>
      </c>
      <c r="B156" s="24" t="s">
        <v>25</v>
      </c>
      <c r="C156" s="25">
        <v>45741</v>
      </c>
      <c r="D156" s="24" t="s">
        <v>31</v>
      </c>
      <c r="E156" s="24" t="s">
        <v>105</v>
      </c>
      <c r="F156" s="24">
        <v>2070</v>
      </c>
      <c r="G156" s="24">
        <v>275</v>
      </c>
      <c r="H156" s="24">
        <v>386</v>
      </c>
      <c r="I156" s="24">
        <v>39330</v>
      </c>
      <c r="J156" s="24">
        <v>38627</v>
      </c>
      <c r="K156" s="24">
        <v>114</v>
      </c>
      <c r="L156" s="24" t="s">
        <v>51</v>
      </c>
      <c r="M156" s="26" t="s">
        <v>34</v>
      </c>
      <c r="N156" s="37">
        <f t="shared" si="2"/>
        <v>6.9438087973557078E-2</v>
      </c>
    </row>
    <row r="157" spans="1:14" x14ac:dyDescent="0.25">
      <c r="A157" s="27" t="s">
        <v>204</v>
      </c>
      <c r="B157" s="28" t="s">
        <v>25</v>
      </c>
      <c r="C157" s="29">
        <v>45567</v>
      </c>
      <c r="D157" s="28" t="s">
        <v>39</v>
      </c>
      <c r="E157" s="28" t="s">
        <v>55</v>
      </c>
      <c r="F157" s="28">
        <v>80</v>
      </c>
      <c r="G157" s="28">
        <v>362</v>
      </c>
      <c r="H157" s="28">
        <v>80</v>
      </c>
      <c r="I157" s="28">
        <v>1040</v>
      </c>
      <c r="J157" s="28">
        <v>349</v>
      </c>
      <c r="K157" s="28">
        <v>117</v>
      </c>
      <c r="L157" s="28" t="s">
        <v>27</v>
      </c>
      <c r="M157" s="30" t="s">
        <v>28</v>
      </c>
      <c r="N157" s="37">
        <f t="shared" si="2"/>
        <v>0.50192307692307692</v>
      </c>
    </row>
    <row r="158" spans="1:14" x14ac:dyDescent="0.25">
      <c r="A158" s="23" t="s">
        <v>205</v>
      </c>
      <c r="B158" s="24" t="s">
        <v>25</v>
      </c>
      <c r="C158" s="25">
        <v>45593</v>
      </c>
      <c r="D158" s="24" t="s">
        <v>31</v>
      </c>
      <c r="E158" s="24" t="s">
        <v>105</v>
      </c>
      <c r="F158" s="24">
        <v>4929</v>
      </c>
      <c r="G158" s="24">
        <v>749</v>
      </c>
      <c r="H158" s="24">
        <v>452</v>
      </c>
      <c r="I158" s="24">
        <v>93651</v>
      </c>
      <c r="J158" s="24">
        <v>92810</v>
      </c>
      <c r="K158" s="24">
        <v>66</v>
      </c>
      <c r="L158" s="24" t="s">
        <v>33</v>
      </c>
      <c r="M158" s="26" t="s">
        <v>34</v>
      </c>
      <c r="N158" s="37">
        <f t="shared" si="2"/>
        <v>6.5455787978772245E-2</v>
      </c>
    </row>
    <row r="159" spans="1:14" x14ac:dyDescent="0.25">
      <c r="A159" s="27" t="s">
        <v>206</v>
      </c>
      <c r="B159" s="28" t="s">
        <v>30</v>
      </c>
      <c r="C159" s="29">
        <v>45516</v>
      </c>
      <c r="D159" s="28" t="s">
        <v>39</v>
      </c>
      <c r="E159" s="28" t="s">
        <v>68</v>
      </c>
      <c r="F159" s="28">
        <v>1878</v>
      </c>
      <c r="G159" s="28">
        <v>62</v>
      </c>
      <c r="H159" s="28">
        <v>179</v>
      </c>
      <c r="I159" s="28">
        <v>37560</v>
      </c>
      <c r="J159" s="28">
        <v>36874</v>
      </c>
      <c r="K159" s="28">
        <v>142</v>
      </c>
      <c r="L159" s="28" t="s">
        <v>27</v>
      </c>
      <c r="M159" s="30" t="s">
        <v>34</v>
      </c>
      <c r="N159" s="37">
        <f t="shared" si="2"/>
        <v>5.6416400425985093E-2</v>
      </c>
    </row>
    <row r="160" spans="1:14" x14ac:dyDescent="0.25">
      <c r="A160" s="23" t="s">
        <v>207</v>
      </c>
      <c r="B160" s="24" t="s">
        <v>25</v>
      </c>
      <c r="C160" s="25">
        <v>45448</v>
      </c>
      <c r="D160" s="24" t="s">
        <v>15</v>
      </c>
      <c r="E160" s="24" t="s">
        <v>26</v>
      </c>
      <c r="F160" s="24">
        <v>3065</v>
      </c>
      <c r="G160" s="24">
        <v>772</v>
      </c>
      <c r="H160" s="24">
        <v>142</v>
      </c>
      <c r="I160" s="24">
        <v>18390</v>
      </c>
      <c r="J160" s="24">
        <v>17875</v>
      </c>
      <c r="K160" s="24">
        <v>200</v>
      </c>
      <c r="L160" s="24" t="s">
        <v>33</v>
      </c>
      <c r="M160" s="26"/>
      <c r="N160" s="37">
        <f t="shared" si="2"/>
        <v>0.21636759108210984</v>
      </c>
    </row>
    <row r="161" spans="1:14" x14ac:dyDescent="0.25">
      <c r="A161" s="27" t="s">
        <v>207</v>
      </c>
      <c r="B161" s="28" t="s">
        <v>25</v>
      </c>
      <c r="C161" s="29">
        <v>45448</v>
      </c>
      <c r="D161" s="28" t="s">
        <v>15</v>
      </c>
      <c r="E161" s="28" t="s">
        <v>26</v>
      </c>
      <c r="F161" s="28">
        <v>3065</v>
      </c>
      <c r="G161" s="28">
        <v>772</v>
      </c>
      <c r="H161" s="28">
        <v>142</v>
      </c>
      <c r="I161" s="28">
        <v>18390</v>
      </c>
      <c r="J161" s="28">
        <v>17875</v>
      </c>
      <c r="K161" s="28">
        <v>200</v>
      </c>
      <c r="L161" s="28" t="s">
        <v>379</v>
      </c>
      <c r="M161" s="30"/>
      <c r="N161" s="37">
        <f t="shared" si="2"/>
        <v>0.21636759108210984</v>
      </c>
    </row>
    <row r="162" spans="1:14" x14ac:dyDescent="0.25">
      <c r="A162" s="23" t="s">
        <v>209</v>
      </c>
      <c r="B162" s="24" t="s">
        <v>30</v>
      </c>
      <c r="C162" s="25">
        <v>45586</v>
      </c>
      <c r="D162" s="24" t="s">
        <v>15</v>
      </c>
      <c r="E162" s="24" t="s">
        <v>64</v>
      </c>
      <c r="F162" s="24">
        <v>3256</v>
      </c>
      <c r="G162" s="24">
        <v>459</v>
      </c>
      <c r="H162" s="24">
        <v>266</v>
      </c>
      <c r="I162" s="24">
        <v>26048</v>
      </c>
      <c r="J162" s="24">
        <v>25529</v>
      </c>
      <c r="K162" s="24">
        <v>143</v>
      </c>
      <c r="L162" s="24" t="s">
        <v>27</v>
      </c>
      <c r="M162" s="26" t="s">
        <v>23</v>
      </c>
      <c r="N162" s="37">
        <f t="shared" si="2"/>
        <v>0.15283323095823095</v>
      </c>
    </row>
    <row r="163" spans="1:14" x14ac:dyDescent="0.25">
      <c r="A163" s="27" t="s">
        <v>210</v>
      </c>
      <c r="B163" s="28" t="s">
        <v>30</v>
      </c>
      <c r="C163" s="29">
        <v>45762</v>
      </c>
      <c r="D163" s="28" t="s">
        <v>59</v>
      </c>
      <c r="E163" s="28" t="s">
        <v>66</v>
      </c>
      <c r="F163" s="28">
        <v>4133</v>
      </c>
      <c r="G163" s="28">
        <v>466</v>
      </c>
      <c r="H163" s="28">
        <v>327</v>
      </c>
      <c r="I163" s="28">
        <v>24798</v>
      </c>
      <c r="J163" s="28">
        <v>24620</v>
      </c>
      <c r="K163" s="28">
        <v>176</v>
      </c>
      <c r="L163" s="28" t="s">
        <v>33</v>
      </c>
      <c r="M163" s="30" t="s">
        <v>34</v>
      </c>
      <c r="N163" s="37">
        <f t="shared" si="2"/>
        <v>0.19864505202032423</v>
      </c>
    </row>
    <row r="164" spans="1:14" x14ac:dyDescent="0.25">
      <c r="A164" s="23" t="s">
        <v>211</v>
      </c>
      <c r="B164" s="24" t="s">
        <v>14</v>
      </c>
      <c r="C164" s="25">
        <v>45459</v>
      </c>
      <c r="D164" s="24" t="s">
        <v>59</v>
      </c>
      <c r="E164" s="24" t="s">
        <v>99</v>
      </c>
      <c r="F164" s="24">
        <v>1702</v>
      </c>
      <c r="G164" s="24">
        <v>750</v>
      </c>
      <c r="H164" s="24">
        <v>179</v>
      </c>
      <c r="I164" s="24">
        <v>34040</v>
      </c>
      <c r="J164" s="24">
        <v>33174</v>
      </c>
      <c r="K164" s="24">
        <v>76</v>
      </c>
      <c r="L164" s="24" t="s">
        <v>33</v>
      </c>
      <c r="M164" s="26" t="s">
        <v>18</v>
      </c>
      <c r="N164" s="37">
        <f t="shared" si="2"/>
        <v>7.7291421856639245E-2</v>
      </c>
    </row>
    <row r="165" spans="1:14" x14ac:dyDescent="0.25">
      <c r="A165" s="27" t="s">
        <v>212</v>
      </c>
      <c r="B165" s="28" t="s">
        <v>25</v>
      </c>
      <c r="C165" s="29">
        <v>45526</v>
      </c>
      <c r="D165" s="28" t="s">
        <v>39</v>
      </c>
      <c r="E165" s="28" t="s">
        <v>55</v>
      </c>
      <c r="F165" s="28">
        <v>4295</v>
      </c>
      <c r="G165" s="28">
        <v>853</v>
      </c>
      <c r="H165" s="28">
        <v>325</v>
      </c>
      <c r="I165" s="28">
        <v>85900</v>
      </c>
      <c r="J165" s="28">
        <v>85788</v>
      </c>
      <c r="K165" s="28">
        <v>290</v>
      </c>
      <c r="L165" s="28" t="s">
        <v>27</v>
      </c>
      <c r="M165" s="30" t="s">
        <v>34</v>
      </c>
      <c r="N165" s="37">
        <f t="shared" si="2"/>
        <v>6.3713620488940623E-2</v>
      </c>
    </row>
    <row r="166" spans="1:14" x14ac:dyDescent="0.25">
      <c r="A166" s="23" t="s">
        <v>213</v>
      </c>
      <c r="B166" s="24" t="s">
        <v>30</v>
      </c>
      <c r="C166" s="25">
        <v>45499</v>
      </c>
      <c r="D166" s="24" t="s">
        <v>44</v>
      </c>
      <c r="E166" s="24" t="s">
        <v>140</v>
      </c>
      <c r="F166" s="24">
        <v>3559</v>
      </c>
      <c r="G166" s="24">
        <v>59</v>
      </c>
      <c r="H166" s="24">
        <v>289</v>
      </c>
      <c r="I166" s="24">
        <v>35590</v>
      </c>
      <c r="J166" s="24">
        <v>35105</v>
      </c>
      <c r="K166" s="24">
        <v>122</v>
      </c>
      <c r="L166" s="24" t="s">
        <v>33</v>
      </c>
      <c r="M166" s="26" t="s">
        <v>18</v>
      </c>
      <c r="N166" s="37">
        <f t="shared" si="2"/>
        <v>0.10977802753582468</v>
      </c>
    </row>
    <row r="167" spans="1:14" x14ac:dyDescent="0.25">
      <c r="A167" s="27" t="s">
        <v>214</v>
      </c>
      <c r="B167" s="28" t="s">
        <v>38</v>
      </c>
      <c r="C167" s="29">
        <v>45769</v>
      </c>
      <c r="D167" s="28" t="s">
        <v>44</v>
      </c>
      <c r="E167" s="28" t="s">
        <v>49</v>
      </c>
      <c r="F167" s="28">
        <v>4804</v>
      </c>
      <c r="G167" s="28">
        <v>550</v>
      </c>
      <c r="H167" s="28">
        <v>270</v>
      </c>
      <c r="I167" s="28">
        <v>28824</v>
      </c>
      <c r="J167" s="28">
        <v>28370</v>
      </c>
      <c r="K167" s="28">
        <v>47</v>
      </c>
      <c r="L167" s="28" t="s">
        <v>33</v>
      </c>
      <c r="M167" s="30" t="s">
        <v>34</v>
      </c>
      <c r="N167" s="37">
        <f t="shared" si="2"/>
        <v>0.19511518179295032</v>
      </c>
    </row>
    <row r="168" spans="1:14" x14ac:dyDescent="0.25">
      <c r="A168" s="23" t="s">
        <v>215</v>
      </c>
      <c r="B168" s="24" t="s">
        <v>14</v>
      </c>
      <c r="C168" s="25">
        <v>45658</v>
      </c>
      <c r="D168" s="24" t="s">
        <v>59</v>
      </c>
      <c r="E168" s="24" t="s">
        <v>99</v>
      </c>
      <c r="F168" s="24">
        <v>754</v>
      </c>
      <c r="G168" s="24">
        <v>197</v>
      </c>
      <c r="H168" s="24">
        <v>257</v>
      </c>
      <c r="I168" s="24">
        <v>6786</v>
      </c>
      <c r="J168" s="24">
        <v>6221</v>
      </c>
      <c r="K168" s="24">
        <v>212</v>
      </c>
      <c r="L168" s="24" t="s">
        <v>27</v>
      </c>
      <c r="M168" s="26" t="s">
        <v>28</v>
      </c>
      <c r="N168" s="37">
        <f t="shared" si="2"/>
        <v>0.17801355732390214</v>
      </c>
    </row>
    <row r="169" spans="1:14" x14ac:dyDescent="0.25">
      <c r="A169" s="27" t="s">
        <v>216</v>
      </c>
      <c r="B169" s="28" t="s">
        <v>30</v>
      </c>
      <c r="C169" s="29">
        <v>45574</v>
      </c>
      <c r="D169" s="28" t="s">
        <v>39</v>
      </c>
      <c r="E169" s="28" t="s">
        <v>68</v>
      </c>
      <c r="F169" s="28">
        <v>985</v>
      </c>
      <c r="G169" s="28">
        <v>932</v>
      </c>
      <c r="H169" s="28">
        <v>287</v>
      </c>
      <c r="I169" s="28">
        <v>6895</v>
      </c>
      <c r="J169" s="28">
        <v>6757</v>
      </c>
      <c r="K169" s="28">
        <v>64</v>
      </c>
      <c r="L169" s="28" t="s">
        <v>51</v>
      </c>
      <c r="M169" s="30" t="s">
        <v>34</v>
      </c>
      <c r="N169" s="37">
        <f t="shared" si="2"/>
        <v>0.31965192168237855</v>
      </c>
    </row>
    <row r="170" spans="1:14" x14ac:dyDescent="0.25">
      <c r="A170" s="23" t="s">
        <v>217</v>
      </c>
      <c r="B170" s="24" t="s">
        <v>25</v>
      </c>
      <c r="C170" s="25">
        <v>45647</v>
      </c>
      <c r="D170" s="24" t="s">
        <v>44</v>
      </c>
      <c r="E170" s="24" t="s">
        <v>45</v>
      </c>
      <c r="F170" s="24">
        <v>2283</v>
      </c>
      <c r="G170" s="24">
        <v>210</v>
      </c>
      <c r="H170" s="24">
        <v>130</v>
      </c>
      <c r="I170" s="24">
        <v>22830</v>
      </c>
      <c r="J170" s="24">
        <v>22617</v>
      </c>
      <c r="K170" s="24">
        <v>143</v>
      </c>
      <c r="L170" s="24" t="s">
        <v>51</v>
      </c>
      <c r="M170" s="26" t="s">
        <v>23</v>
      </c>
      <c r="N170" s="37">
        <f t="shared" si="2"/>
        <v>0.11489268506351293</v>
      </c>
    </row>
    <row r="171" spans="1:14" x14ac:dyDescent="0.25">
      <c r="A171" s="27" t="s">
        <v>218</v>
      </c>
      <c r="B171" s="28" t="s">
        <v>38</v>
      </c>
      <c r="C171" s="29">
        <v>45587</v>
      </c>
      <c r="D171" s="28" t="s">
        <v>39</v>
      </c>
      <c r="E171" s="28" t="s">
        <v>40</v>
      </c>
      <c r="F171" s="28">
        <v>3352</v>
      </c>
      <c r="G171" s="28">
        <v>941</v>
      </c>
      <c r="H171" s="28">
        <v>482</v>
      </c>
      <c r="I171" s="28">
        <v>43576</v>
      </c>
      <c r="J171" s="28">
        <v>43338</v>
      </c>
      <c r="K171" s="28">
        <v>240</v>
      </c>
      <c r="L171" s="28" t="s">
        <v>51</v>
      </c>
      <c r="M171" s="30" t="s">
        <v>23</v>
      </c>
      <c r="N171" s="37">
        <f t="shared" si="2"/>
        <v>0.1095786671562328</v>
      </c>
    </row>
    <row r="172" spans="1:14" x14ac:dyDescent="0.25">
      <c r="A172" s="23" t="s">
        <v>219</v>
      </c>
      <c r="B172" s="24" t="s">
        <v>25</v>
      </c>
      <c r="C172" s="25">
        <v>45496</v>
      </c>
      <c r="D172" s="24" t="s">
        <v>31</v>
      </c>
      <c r="E172" s="24" t="s">
        <v>105</v>
      </c>
      <c r="F172" s="24">
        <v>4775</v>
      </c>
      <c r="G172" s="24">
        <v>173</v>
      </c>
      <c r="H172" s="24">
        <v>206</v>
      </c>
      <c r="I172" s="24">
        <v>47750</v>
      </c>
      <c r="J172" s="24">
        <v>47544</v>
      </c>
      <c r="K172" s="24">
        <v>187</v>
      </c>
      <c r="L172" s="24" t="s">
        <v>51</v>
      </c>
      <c r="M172" s="26" t="s">
        <v>23</v>
      </c>
      <c r="N172" s="37">
        <f t="shared" si="2"/>
        <v>0.10793717277486911</v>
      </c>
    </row>
    <row r="173" spans="1:14" x14ac:dyDescent="0.25">
      <c r="A173" s="27" t="s">
        <v>220</v>
      </c>
      <c r="B173" s="28" t="s">
        <v>30</v>
      </c>
      <c r="C173" s="29">
        <v>45515</v>
      </c>
      <c r="D173" s="28" t="s">
        <v>31</v>
      </c>
      <c r="E173" s="28" t="s">
        <v>32</v>
      </c>
      <c r="F173" s="28">
        <v>1762</v>
      </c>
      <c r="G173" s="28">
        <v>405</v>
      </c>
      <c r="H173" s="28">
        <v>423</v>
      </c>
      <c r="I173" s="28">
        <v>22906</v>
      </c>
      <c r="J173" s="28">
        <v>21925</v>
      </c>
      <c r="K173" s="28">
        <v>25</v>
      </c>
      <c r="L173" s="28" t="s">
        <v>27</v>
      </c>
      <c r="M173" s="30" t="s">
        <v>18</v>
      </c>
      <c r="N173" s="37">
        <f t="shared" si="2"/>
        <v>0.11307081114118571</v>
      </c>
    </row>
    <row r="174" spans="1:14" x14ac:dyDescent="0.25">
      <c r="A174" s="23" t="s">
        <v>221</v>
      </c>
      <c r="B174" s="24" t="s">
        <v>38</v>
      </c>
      <c r="C174" s="25">
        <v>45621</v>
      </c>
      <c r="D174" s="24" t="s">
        <v>31</v>
      </c>
      <c r="E174" s="24" t="s">
        <v>57</v>
      </c>
      <c r="F174" s="24">
        <v>2120</v>
      </c>
      <c r="G174" s="24">
        <v>158</v>
      </c>
      <c r="H174" s="24">
        <v>488</v>
      </c>
      <c r="I174" s="24">
        <v>12720</v>
      </c>
      <c r="J174" s="24">
        <v>12085</v>
      </c>
      <c r="K174" s="24">
        <v>17</v>
      </c>
      <c r="L174" s="24" t="s">
        <v>51</v>
      </c>
      <c r="M174" s="26" t="s">
        <v>23</v>
      </c>
      <c r="N174" s="37">
        <f t="shared" si="2"/>
        <v>0.21745283018867925</v>
      </c>
    </row>
    <row r="175" spans="1:14" x14ac:dyDescent="0.25">
      <c r="A175" s="27" t="s">
        <v>222</v>
      </c>
      <c r="B175" s="28" t="s">
        <v>14</v>
      </c>
      <c r="C175" s="29">
        <v>45528</v>
      </c>
      <c r="D175" s="28" t="s">
        <v>59</v>
      </c>
      <c r="E175" s="28" t="s">
        <v>99</v>
      </c>
      <c r="F175" s="28">
        <v>1082</v>
      </c>
      <c r="G175" s="28">
        <v>209</v>
      </c>
      <c r="H175" s="28">
        <v>484</v>
      </c>
      <c r="I175" s="28">
        <v>19476</v>
      </c>
      <c r="J175" s="28">
        <v>18654</v>
      </c>
      <c r="K175" s="28">
        <v>20</v>
      </c>
      <c r="L175" s="28" t="s">
        <v>27</v>
      </c>
      <c r="M175" s="30"/>
      <c r="N175" s="37">
        <f t="shared" si="2"/>
        <v>9.1137810638734856E-2</v>
      </c>
    </row>
    <row r="176" spans="1:14" x14ac:dyDescent="0.25">
      <c r="A176" s="23" t="s">
        <v>223</v>
      </c>
      <c r="B176" s="24" t="s">
        <v>14</v>
      </c>
      <c r="C176" s="25">
        <v>45707</v>
      </c>
      <c r="D176" s="24" t="s">
        <v>20</v>
      </c>
      <c r="E176" s="24" t="s">
        <v>21</v>
      </c>
      <c r="F176" s="24">
        <v>4671</v>
      </c>
      <c r="G176" s="24">
        <v>876</v>
      </c>
      <c r="H176" s="24">
        <v>366</v>
      </c>
      <c r="I176" s="24">
        <v>51381</v>
      </c>
      <c r="J176" s="24">
        <v>50565</v>
      </c>
      <c r="K176" s="24">
        <v>245</v>
      </c>
      <c r="L176" s="24" t="s">
        <v>27</v>
      </c>
      <c r="M176" s="26" t="s">
        <v>34</v>
      </c>
      <c r="N176" s="37">
        <f t="shared" si="2"/>
        <v>0.11508145034156594</v>
      </c>
    </row>
    <row r="177" spans="1:14" x14ac:dyDescent="0.25">
      <c r="A177" s="27" t="s">
        <v>224</v>
      </c>
      <c r="B177" s="28" t="s">
        <v>38</v>
      </c>
      <c r="C177" s="29">
        <v>45748</v>
      </c>
      <c r="D177" s="28" t="s">
        <v>31</v>
      </c>
      <c r="E177" s="28" t="s">
        <v>57</v>
      </c>
      <c r="F177" s="28">
        <v>3430</v>
      </c>
      <c r="G177" s="28">
        <v>566</v>
      </c>
      <c r="H177" s="28">
        <v>164</v>
      </c>
      <c r="I177" s="28">
        <v>48020</v>
      </c>
      <c r="J177" s="28">
        <v>47305</v>
      </c>
      <c r="K177" s="28">
        <v>120</v>
      </c>
      <c r="L177" s="28" t="s">
        <v>51</v>
      </c>
      <c r="M177" s="30"/>
      <c r="N177" s="37">
        <f t="shared" si="2"/>
        <v>8.6630570595585168E-2</v>
      </c>
    </row>
    <row r="178" spans="1:14" x14ac:dyDescent="0.25">
      <c r="A178" s="23" t="s">
        <v>225</v>
      </c>
      <c r="B178" s="24" t="s">
        <v>30</v>
      </c>
      <c r="C178" s="25">
        <v>45755</v>
      </c>
      <c r="D178" s="24" t="s">
        <v>44</v>
      </c>
      <c r="E178" s="24" t="s">
        <v>140</v>
      </c>
      <c r="F178" s="24">
        <v>4501</v>
      </c>
      <c r="G178" s="24">
        <v>375</v>
      </c>
      <c r="H178" s="24">
        <v>323</v>
      </c>
      <c r="I178" s="24">
        <v>22505</v>
      </c>
      <c r="J178" s="24">
        <v>21836</v>
      </c>
      <c r="K178" s="24">
        <v>132</v>
      </c>
      <c r="L178" s="24" t="s">
        <v>27</v>
      </c>
      <c r="M178" s="26" t="s">
        <v>23</v>
      </c>
      <c r="N178" s="37">
        <f t="shared" si="2"/>
        <v>0.23101532992668297</v>
      </c>
    </row>
    <row r="179" spans="1:14" x14ac:dyDescent="0.25">
      <c r="A179" s="27" t="s">
        <v>226</v>
      </c>
      <c r="B179" s="28" t="s">
        <v>25</v>
      </c>
      <c r="C179" s="29">
        <v>45715</v>
      </c>
      <c r="D179" s="28" t="s">
        <v>20</v>
      </c>
      <c r="E179" s="28" t="s">
        <v>77</v>
      </c>
      <c r="F179" s="28">
        <v>4934</v>
      </c>
      <c r="G179" s="28">
        <v>971</v>
      </c>
      <c r="H179" s="28">
        <v>156</v>
      </c>
      <c r="I179" s="28">
        <v>39472</v>
      </c>
      <c r="J179" s="28">
        <v>39025</v>
      </c>
      <c r="K179" s="28">
        <v>169</v>
      </c>
      <c r="L179" s="28" t="s">
        <v>27</v>
      </c>
      <c r="M179" s="30" t="s">
        <v>34</v>
      </c>
      <c r="N179" s="37">
        <f t="shared" si="2"/>
        <v>0.15355188488042157</v>
      </c>
    </row>
    <row r="180" spans="1:14" x14ac:dyDescent="0.25">
      <c r="A180" s="23" t="s">
        <v>226</v>
      </c>
      <c r="B180" s="24" t="s">
        <v>25</v>
      </c>
      <c r="C180" s="25">
        <v>45715</v>
      </c>
      <c r="D180" s="24" t="s">
        <v>20</v>
      </c>
      <c r="E180" s="24" t="s">
        <v>77</v>
      </c>
      <c r="F180" s="24">
        <v>4934</v>
      </c>
      <c r="G180" s="24">
        <v>971</v>
      </c>
      <c r="H180" s="24">
        <v>156</v>
      </c>
      <c r="I180" s="24">
        <v>39472</v>
      </c>
      <c r="J180" s="24">
        <v>39025</v>
      </c>
      <c r="K180" s="24">
        <v>169</v>
      </c>
      <c r="L180" s="24" t="s">
        <v>379</v>
      </c>
      <c r="M180" s="26" t="s">
        <v>34</v>
      </c>
      <c r="N180" s="37">
        <f t="shared" si="2"/>
        <v>0.15355188488042157</v>
      </c>
    </row>
    <row r="181" spans="1:14" x14ac:dyDescent="0.25">
      <c r="A181" s="27" t="s">
        <v>227</v>
      </c>
      <c r="B181" s="28" t="s">
        <v>14</v>
      </c>
      <c r="C181" s="29">
        <v>45637</v>
      </c>
      <c r="D181" s="28" t="s">
        <v>20</v>
      </c>
      <c r="E181" s="28" t="s">
        <v>21</v>
      </c>
      <c r="F181" s="28">
        <v>3239</v>
      </c>
      <c r="G181" s="28">
        <v>43</v>
      </c>
      <c r="H181" s="28">
        <v>211</v>
      </c>
      <c r="I181" s="28">
        <v>22673</v>
      </c>
      <c r="J181" s="28">
        <v>22171</v>
      </c>
      <c r="K181" s="28">
        <v>230</v>
      </c>
      <c r="L181" s="28" t="s">
        <v>27</v>
      </c>
      <c r="M181" s="30" t="s">
        <v>23</v>
      </c>
      <c r="N181" s="37">
        <f t="shared" si="2"/>
        <v>0.15405989502933004</v>
      </c>
    </row>
    <row r="182" spans="1:14" x14ac:dyDescent="0.25">
      <c r="A182" s="23" t="s">
        <v>228</v>
      </c>
      <c r="B182" s="24" t="s">
        <v>14</v>
      </c>
      <c r="C182" s="25">
        <v>45704</v>
      </c>
      <c r="D182" s="24" t="s">
        <v>15</v>
      </c>
      <c r="E182" s="24" t="s">
        <v>16</v>
      </c>
      <c r="F182" s="24">
        <v>1076</v>
      </c>
      <c r="G182" s="24">
        <v>313</v>
      </c>
      <c r="H182" s="24">
        <v>306</v>
      </c>
      <c r="I182" s="24">
        <v>11836</v>
      </c>
      <c r="J182" s="24">
        <v>11596</v>
      </c>
      <c r="K182" s="24">
        <v>104</v>
      </c>
      <c r="L182" s="24" t="s">
        <v>51</v>
      </c>
      <c r="M182" s="26" t="s">
        <v>18</v>
      </c>
      <c r="N182" s="37">
        <f t="shared" si="2"/>
        <v>0.14320716458262928</v>
      </c>
    </row>
    <row r="183" spans="1:14" x14ac:dyDescent="0.25">
      <c r="A183" s="27" t="s">
        <v>229</v>
      </c>
      <c r="B183" s="28" t="s">
        <v>30</v>
      </c>
      <c r="C183" s="29">
        <v>45624</v>
      </c>
      <c r="D183" s="28" t="s">
        <v>20</v>
      </c>
      <c r="E183" s="28" t="s">
        <v>82</v>
      </c>
      <c r="F183" s="28">
        <v>4771</v>
      </c>
      <c r="G183" s="28">
        <v>818</v>
      </c>
      <c r="H183" s="28">
        <v>56</v>
      </c>
      <c r="I183" s="28">
        <v>57252</v>
      </c>
      <c r="J183" s="28">
        <v>56378</v>
      </c>
      <c r="K183" s="28">
        <v>150</v>
      </c>
      <c r="L183" s="28" t="s">
        <v>51</v>
      </c>
      <c r="M183" s="30"/>
      <c r="N183" s="37">
        <f t="shared" si="2"/>
        <v>9.859917557465242E-2</v>
      </c>
    </row>
    <row r="184" spans="1:14" x14ac:dyDescent="0.25">
      <c r="A184" s="23" t="s">
        <v>230</v>
      </c>
      <c r="B184" s="24" t="s">
        <v>38</v>
      </c>
      <c r="C184" s="25">
        <v>45608</v>
      </c>
      <c r="D184" s="24" t="s">
        <v>20</v>
      </c>
      <c r="E184" s="24" t="s">
        <v>47</v>
      </c>
      <c r="F184" s="24">
        <v>2418</v>
      </c>
      <c r="G184" s="24">
        <v>754</v>
      </c>
      <c r="H184" s="24">
        <v>54</v>
      </c>
      <c r="I184" s="24">
        <v>43524</v>
      </c>
      <c r="J184" s="24">
        <v>42743</v>
      </c>
      <c r="K184" s="24">
        <v>182</v>
      </c>
      <c r="L184" s="24" t="s">
        <v>33</v>
      </c>
      <c r="M184" s="26" t="s">
        <v>18</v>
      </c>
      <c r="N184" s="37">
        <f t="shared" si="2"/>
        <v>7.412002573292896E-2</v>
      </c>
    </row>
    <row r="185" spans="1:14" x14ac:dyDescent="0.25">
      <c r="A185" s="27" t="s">
        <v>231</v>
      </c>
      <c r="B185" s="28" t="s">
        <v>25</v>
      </c>
      <c r="C185" s="29">
        <v>45629</v>
      </c>
      <c r="D185" s="28" t="s">
        <v>59</v>
      </c>
      <c r="E185" s="28" t="s">
        <v>143</v>
      </c>
      <c r="F185" s="28">
        <v>3809</v>
      </c>
      <c r="G185" s="28">
        <v>273</v>
      </c>
      <c r="H185" s="28">
        <v>200</v>
      </c>
      <c r="I185" s="28">
        <v>34281</v>
      </c>
      <c r="J185" s="28">
        <v>33534</v>
      </c>
      <c r="K185" s="28">
        <v>83</v>
      </c>
      <c r="L185" s="28" t="s">
        <v>33</v>
      </c>
      <c r="M185" s="30" t="s">
        <v>18</v>
      </c>
      <c r="N185" s="37">
        <f t="shared" si="2"/>
        <v>0.12490884163239112</v>
      </c>
    </row>
    <row r="186" spans="1:14" x14ac:dyDescent="0.25">
      <c r="A186" s="23" t="s">
        <v>232</v>
      </c>
      <c r="B186" s="24" t="s">
        <v>14</v>
      </c>
      <c r="C186" s="25">
        <v>45775</v>
      </c>
      <c r="D186" s="24" t="s">
        <v>20</v>
      </c>
      <c r="E186" s="24" t="s">
        <v>21</v>
      </c>
      <c r="F186" s="24">
        <v>3577</v>
      </c>
      <c r="G186" s="24">
        <v>596</v>
      </c>
      <c r="H186" s="24">
        <v>493</v>
      </c>
      <c r="I186" s="24">
        <v>67963</v>
      </c>
      <c r="J186" s="24">
        <v>67839</v>
      </c>
      <c r="K186" s="24">
        <v>53</v>
      </c>
      <c r="L186" s="24" t="s">
        <v>27</v>
      </c>
      <c r="M186" s="26" t="s">
        <v>28</v>
      </c>
      <c r="N186" s="37">
        <f t="shared" si="2"/>
        <v>6.8655003457763777E-2</v>
      </c>
    </row>
    <row r="187" spans="1:14" x14ac:dyDescent="0.25">
      <c r="A187" s="27" t="s">
        <v>233</v>
      </c>
      <c r="B187" s="28" t="s">
        <v>25</v>
      </c>
      <c r="C187" s="29">
        <v>45657</v>
      </c>
      <c r="D187" s="28" t="s">
        <v>59</v>
      </c>
      <c r="E187" s="28" t="s">
        <v>143</v>
      </c>
      <c r="F187" s="28">
        <v>1018</v>
      </c>
      <c r="G187" s="28">
        <v>447</v>
      </c>
      <c r="H187" s="28">
        <v>332</v>
      </c>
      <c r="I187" s="28">
        <v>18324</v>
      </c>
      <c r="J187" s="28">
        <v>18164</v>
      </c>
      <c r="K187" s="28">
        <v>38</v>
      </c>
      <c r="L187" s="28" t="s">
        <v>51</v>
      </c>
      <c r="M187" s="30" t="s">
        <v>23</v>
      </c>
      <c r="N187" s="37">
        <f t="shared" si="2"/>
        <v>9.8068107400130972E-2</v>
      </c>
    </row>
    <row r="188" spans="1:14" x14ac:dyDescent="0.25">
      <c r="A188" s="23" t="s">
        <v>234</v>
      </c>
      <c r="B188" s="24" t="s">
        <v>38</v>
      </c>
      <c r="C188" s="25">
        <v>45518</v>
      </c>
      <c r="D188" s="24" t="s">
        <v>39</v>
      </c>
      <c r="E188" s="24" t="s">
        <v>40</v>
      </c>
      <c r="F188" s="24">
        <v>3073</v>
      </c>
      <c r="G188" s="24">
        <v>553</v>
      </c>
      <c r="H188" s="24">
        <v>174</v>
      </c>
      <c r="I188" s="24">
        <v>52241</v>
      </c>
      <c r="J188" s="24">
        <v>51605</v>
      </c>
      <c r="K188" s="24">
        <v>246</v>
      </c>
      <c r="L188" s="24" t="s">
        <v>33</v>
      </c>
      <c r="M188" s="26" t="s">
        <v>28</v>
      </c>
      <c r="N188" s="37">
        <f t="shared" si="2"/>
        <v>7.2739802071170159E-2</v>
      </c>
    </row>
    <row r="189" spans="1:14" x14ac:dyDescent="0.25">
      <c r="A189" s="27" t="s">
        <v>235</v>
      </c>
      <c r="B189" s="28" t="s">
        <v>14</v>
      </c>
      <c r="C189" s="29">
        <v>45631</v>
      </c>
      <c r="D189" s="28" t="s">
        <v>59</v>
      </c>
      <c r="E189" s="28" t="s">
        <v>99</v>
      </c>
      <c r="F189" s="28">
        <v>1330</v>
      </c>
      <c r="G189" s="28">
        <v>925</v>
      </c>
      <c r="H189" s="28">
        <v>35</v>
      </c>
      <c r="I189" s="28">
        <v>15960</v>
      </c>
      <c r="J189" s="28">
        <v>15379</v>
      </c>
      <c r="K189" s="28">
        <v>229</v>
      </c>
      <c r="L189" s="28" t="s">
        <v>51</v>
      </c>
      <c r="M189" s="30" t="s">
        <v>28</v>
      </c>
      <c r="N189" s="37">
        <f t="shared" si="2"/>
        <v>0.14348370927318296</v>
      </c>
    </row>
    <row r="190" spans="1:14" x14ac:dyDescent="0.25">
      <c r="A190" s="23" t="s">
        <v>236</v>
      </c>
      <c r="B190" s="24" t="s">
        <v>38</v>
      </c>
      <c r="C190" s="25">
        <v>45465</v>
      </c>
      <c r="D190" s="24" t="s">
        <v>20</v>
      </c>
      <c r="E190" s="24" t="s">
        <v>47</v>
      </c>
      <c r="F190" s="24">
        <v>3828</v>
      </c>
      <c r="G190" s="24">
        <v>148</v>
      </c>
      <c r="H190" s="24">
        <v>253</v>
      </c>
      <c r="I190" s="24">
        <v>30624</v>
      </c>
      <c r="J190" s="24">
        <v>30229</v>
      </c>
      <c r="K190" s="24">
        <v>235</v>
      </c>
      <c r="L190" s="24" t="s">
        <v>33</v>
      </c>
      <c r="M190" s="26"/>
      <c r="N190" s="37">
        <f t="shared" si="2"/>
        <v>0.13809430512016718</v>
      </c>
    </row>
    <row r="191" spans="1:14" x14ac:dyDescent="0.25">
      <c r="A191" s="27" t="s">
        <v>237</v>
      </c>
      <c r="B191" s="28" t="s">
        <v>30</v>
      </c>
      <c r="C191" s="29">
        <v>45674</v>
      </c>
      <c r="D191" s="28" t="s">
        <v>15</v>
      </c>
      <c r="E191" s="28" t="s">
        <v>64</v>
      </c>
      <c r="F191" s="28">
        <v>142</v>
      </c>
      <c r="G191" s="28">
        <v>784</v>
      </c>
      <c r="H191" s="28">
        <v>183</v>
      </c>
      <c r="I191" s="28">
        <v>1704</v>
      </c>
      <c r="J191" s="28">
        <v>995</v>
      </c>
      <c r="K191" s="28">
        <v>154</v>
      </c>
      <c r="L191" s="28" t="s">
        <v>51</v>
      </c>
      <c r="M191" s="30" t="s">
        <v>34</v>
      </c>
      <c r="N191" s="37">
        <f t="shared" si="2"/>
        <v>0.6508215962441315</v>
      </c>
    </row>
    <row r="192" spans="1:14" x14ac:dyDescent="0.25">
      <c r="A192" s="23" t="s">
        <v>238</v>
      </c>
      <c r="B192" s="24" t="s">
        <v>38</v>
      </c>
      <c r="C192" s="25">
        <v>45463</v>
      </c>
      <c r="D192" s="24" t="s">
        <v>59</v>
      </c>
      <c r="E192" s="24" t="s">
        <v>60</v>
      </c>
      <c r="F192" s="24">
        <v>3798</v>
      </c>
      <c r="G192" s="24">
        <v>31</v>
      </c>
      <c r="H192" s="24">
        <v>279</v>
      </c>
      <c r="I192" s="24">
        <v>75960</v>
      </c>
      <c r="J192" s="24">
        <v>75813</v>
      </c>
      <c r="K192" s="24">
        <v>266</v>
      </c>
      <c r="L192" s="24" t="s">
        <v>27</v>
      </c>
      <c r="M192" s="26" t="s">
        <v>18</v>
      </c>
      <c r="N192" s="37">
        <f t="shared" si="2"/>
        <v>5.4081095313322801E-2</v>
      </c>
    </row>
    <row r="193" spans="1:14" x14ac:dyDescent="0.25">
      <c r="A193" s="27" t="s">
        <v>239</v>
      </c>
      <c r="B193" s="28" t="s">
        <v>30</v>
      </c>
      <c r="C193" s="29">
        <v>45483</v>
      </c>
      <c r="D193" s="28" t="s">
        <v>39</v>
      </c>
      <c r="E193" s="28" t="s">
        <v>68</v>
      </c>
      <c r="F193" s="28">
        <v>3099</v>
      </c>
      <c r="G193" s="28">
        <v>694</v>
      </c>
      <c r="H193" s="28">
        <v>171</v>
      </c>
      <c r="I193" s="28">
        <v>43386</v>
      </c>
      <c r="J193" s="28">
        <v>42921</v>
      </c>
      <c r="K193" s="28">
        <v>52</v>
      </c>
      <c r="L193" s="28" t="s">
        <v>27</v>
      </c>
      <c r="M193" s="30" t="s">
        <v>28</v>
      </c>
      <c r="N193" s="37">
        <f t="shared" si="2"/>
        <v>9.1365878393951966E-2</v>
      </c>
    </row>
    <row r="194" spans="1:14" x14ac:dyDescent="0.25">
      <c r="A194" s="23" t="s">
        <v>240</v>
      </c>
      <c r="B194" s="24" t="s">
        <v>30</v>
      </c>
      <c r="C194" s="25">
        <v>45603</v>
      </c>
      <c r="D194" s="24" t="s">
        <v>59</v>
      </c>
      <c r="E194" s="24" t="s">
        <v>66</v>
      </c>
      <c r="F194" s="24">
        <v>129</v>
      </c>
      <c r="G194" s="24">
        <v>643</v>
      </c>
      <c r="H194" s="24">
        <v>136</v>
      </c>
      <c r="I194" s="24">
        <v>1290</v>
      </c>
      <c r="J194" s="24">
        <v>839</v>
      </c>
      <c r="K194" s="24">
        <v>238</v>
      </c>
      <c r="L194" s="24" t="s">
        <v>27</v>
      </c>
      <c r="M194" s="26" t="s">
        <v>34</v>
      </c>
      <c r="N194" s="37">
        <f t="shared" si="2"/>
        <v>0.70387596899224802</v>
      </c>
    </row>
    <row r="195" spans="1:14" x14ac:dyDescent="0.25">
      <c r="A195" s="27" t="s">
        <v>241</v>
      </c>
      <c r="B195" s="28" t="s">
        <v>38</v>
      </c>
      <c r="C195" s="29">
        <v>45488</v>
      </c>
      <c r="D195" s="28" t="s">
        <v>39</v>
      </c>
      <c r="E195" s="28" t="s">
        <v>40</v>
      </c>
      <c r="F195" s="28">
        <v>3796</v>
      </c>
      <c r="G195" s="28">
        <v>667</v>
      </c>
      <c r="H195" s="28">
        <v>395</v>
      </c>
      <c r="I195" s="28">
        <v>64532</v>
      </c>
      <c r="J195" s="28">
        <v>63550</v>
      </c>
      <c r="K195" s="28">
        <v>292</v>
      </c>
      <c r="L195" s="28" t="s">
        <v>27</v>
      </c>
      <c r="M195" s="30"/>
      <c r="N195" s="37">
        <f t="shared" ref="N195:N258" si="3">(F195+G195+H195)/I195</f>
        <v>7.5280481001673588E-2</v>
      </c>
    </row>
    <row r="196" spans="1:14" x14ac:dyDescent="0.25">
      <c r="A196" s="23" t="s">
        <v>242</v>
      </c>
      <c r="B196" s="24" t="s">
        <v>25</v>
      </c>
      <c r="C196" s="25">
        <v>45629</v>
      </c>
      <c r="D196" s="24" t="s">
        <v>20</v>
      </c>
      <c r="E196" s="24" t="s">
        <v>77</v>
      </c>
      <c r="F196" s="24">
        <v>3711</v>
      </c>
      <c r="G196" s="24">
        <v>352</v>
      </c>
      <c r="H196" s="24">
        <v>290</v>
      </c>
      <c r="I196" s="24">
        <v>48243</v>
      </c>
      <c r="J196" s="24">
        <v>47579</v>
      </c>
      <c r="K196" s="24">
        <v>11</v>
      </c>
      <c r="L196" s="24" t="s">
        <v>27</v>
      </c>
      <c r="M196" s="26" t="s">
        <v>18</v>
      </c>
      <c r="N196" s="37">
        <f t="shared" si="3"/>
        <v>9.023070704558174E-2</v>
      </c>
    </row>
    <row r="197" spans="1:14" x14ac:dyDescent="0.25">
      <c r="A197" s="27" t="s">
        <v>243</v>
      </c>
      <c r="B197" s="28" t="s">
        <v>25</v>
      </c>
      <c r="C197" s="29">
        <v>45737</v>
      </c>
      <c r="D197" s="28" t="s">
        <v>44</v>
      </c>
      <c r="E197" s="28" t="s">
        <v>45</v>
      </c>
      <c r="F197" s="28">
        <v>606</v>
      </c>
      <c r="G197" s="28">
        <v>789</v>
      </c>
      <c r="H197" s="28">
        <v>470</v>
      </c>
      <c r="I197" s="28">
        <v>7878</v>
      </c>
      <c r="J197" s="28">
        <v>7389</v>
      </c>
      <c r="K197" s="28">
        <v>239</v>
      </c>
      <c r="L197" s="28" t="s">
        <v>33</v>
      </c>
      <c r="M197" s="30" t="s">
        <v>28</v>
      </c>
      <c r="N197" s="37">
        <f t="shared" si="3"/>
        <v>0.23673521198273673</v>
      </c>
    </row>
    <row r="198" spans="1:14" x14ac:dyDescent="0.25">
      <c r="A198" s="23" t="s">
        <v>244</v>
      </c>
      <c r="B198" s="24" t="s">
        <v>38</v>
      </c>
      <c r="C198" s="25">
        <v>45504</v>
      </c>
      <c r="D198" s="24" t="s">
        <v>44</v>
      </c>
      <c r="E198" s="24" t="s">
        <v>49</v>
      </c>
      <c r="F198" s="24">
        <v>4689</v>
      </c>
      <c r="G198" s="24">
        <v>134</v>
      </c>
      <c r="H198" s="24">
        <v>403</v>
      </c>
      <c r="I198" s="24">
        <v>51579</v>
      </c>
      <c r="J198" s="24">
        <v>50924</v>
      </c>
      <c r="K198" s="24">
        <v>173</v>
      </c>
      <c r="L198" s="24" t="s">
        <v>27</v>
      </c>
      <c r="M198" s="26" t="s">
        <v>34</v>
      </c>
      <c r="N198" s="37">
        <f t="shared" si="3"/>
        <v>0.10132030477519921</v>
      </c>
    </row>
    <row r="199" spans="1:14" x14ac:dyDescent="0.25">
      <c r="A199" s="27" t="s">
        <v>245</v>
      </c>
      <c r="B199" s="28" t="s">
        <v>30</v>
      </c>
      <c r="C199" s="29">
        <v>45643</v>
      </c>
      <c r="D199" s="28" t="s">
        <v>31</v>
      </c>
      <c r="E199" s="28" t="s">
        <v>32</v>
      </c>
      <c r="F199" s="28">
        <v>360</v>
      </c>
      <c r="G199" s="28">
        <v>590</v>
      </c>
      <c r="H199" s="28">
        <v>393</v>
      </c>
      <c r="I199" s="28">
        <v>4680</v>
      </c>
      <c r="J199" s="28">
        <v>4322</v>
      </c>
      <c r="K199" s="28">
        <v>208</v>
      </c>
      <c r="L199" s="28" t="s">
        <v>51</v>
      </c>
      <c r="M199" s="30" t="s">
        <v>23</v>
      </c>
      <c r="N199" s="37">
        <f t="shared" si="3"/>
        <v>0.28696581196581195</v>
      </c>
    </row>
    <row r="200" spans="1:14" x14ac:dyDescent="0.25">
      <c r="A200" s="23" t="s">
        <v>246</v>
      </c>
      <c r="B200" s="24" t="s">
        <v>14</v>
      </c>
      <c r="C200" s="25">
        <v>45501</v>
      </c>
      <c r="D200" s="24" t="s">
        <v>44</v>
      </c>
      <c r="E200" s="24" t="s">
        <v>92</v>
      </c>
      <c r="F200" s="24">
        <v>3215</v>
      </c>
      <c r="G200" s="24">
        <v>960</v>
      </c>
      <c r="H200" s="24">
        <v>202</v>
      </c>
      <c r="I200" s="24">
        <v>32150</v>
      </c>
      <c r="J200" s="24">
        <v>31404</v>
      </c>
      <c r="K200" s="24">
        <v>251</v>
      </c>
      <c r="L200" s="24" t="s">
        <v>33</v>
      </c>
      <c r="M200" s="26" t="s">
        <v>18</v>
      </c>
      <c r="N200" s="37">
        <f t="shared" si="3"/>
        <v>0.13614307931570763</v>
      </c>
    </row>
    <row r="201" spans="1:14" x14ac:dyDescent="0.25">
      <c r="A201" s="27" t="s">
        <v>247</v>
      </c>
      <c r="B201" s="28" t="s">
        <v>30</v>
      </c>
      <c r="C201" s="29">
        <v>45668</v>
      </c>
      <c r="D201" s="28" t="s">
        <v>39</v>
      </c>
      <c r="E201" s="28" t="s">
        <v>68</v>
      </c>
      <c r="F201" s="28">
        <v>4523</v>
      </c>
      <c r="G201" s="28">
        <v>61</v>
      </c>
      <c r="H201" s="28">
        <v>157</v>
      </c>
      <c r="I201" s="28">
        <v>49753</v>
      </c>
      <c r="J201" s="28">
        <v>49329</v>
      </c>
      <c r="K201" s="28">
        <v>71</v>
      </c>
      <c r="L201" s="28" t="s">
        <v>33</v>
      </c>
      <c r="M201" s="30"/>
      <c r="N201" s="37">
        <f t="shared" si="3"/>
        <v>9.5290736237010829E-2</v>
      </c>
    </row>
    <row r="202" spans="1:14" x14ac:dyDescent="0.25">
      <c r="A202" s="23" t="s">
        <v>248</v>
      </c>
      <c r="B202" s="24" t="s">
        <v>38</v>
      </c>
      <c r="C202" s="25">
        <v>45528</v>
      </c>
      <c r="D202" s="24" t="s">
        <v>39</v>
      </c>
      <c r="E202" s="24" t="s">
        <v>40</v>
      </c>
      <c r="F202" s="24">
        <v>4292</v>
      </c>
      <c r="G202" s="24">
        <v>51</v>
      </c>
      <c r="H202" s="24">
        <v>392</v>
      </c>
      <c r="I202" s="24">
        <v>55796</v>
      </c>
      <c r="J202" s="24">
        <v>54826</v>
      </c>
      <c r="K202" s="24">
        <v>264</v>
      </c>
      <c r="L202" s="24" t="s">
        <v>33</v>
      </c>
      <c r="M202" s="26" t="s">
        <v>28</v>
      </c>
      <c r="N202" s="37">
        <f t="shared" si="3"/>
        <v>8.4862714173059003E-2</v>
      </c>
    </row>
    <row r="203" spans="1:14" x14ac:dyDescent="0.25">
      <c r="A203" s="27" t="s">
        <v>249</v>
      </c>
      <c r="B203" s="28" t="s">
        <v>14</v>
      </c>
      <c r="C203" s="29">
        <v>45648</v>
      </c>
      <c r="D203" s="28" t="s">
        <v>15</v>
      </c>
      <c r="E203" s="28" t="s">
        <v>16</v>
      </c>
      <c r="F203" s="28">
        <v>1644</v>
      </c>
      <c r="G203" s="28">
        <v>546</v>
      </c>
      <c r="H203" s="28">
        <v>150</v>
      </c>
      <c r="I203" s="28">
        <v>27948</v>
      </c>
      <c r="J203" s="28">
        <v>27184</v>
      </c>
      <c r="K203" s="28">
        <v>300</v>
      </c>
      <c r="L203" s="28" t="s">
        <v>33</v>
      </c>
      <c r="M203" s="30" t="s">
        <v>28</v>
      </c>
      <c r="N203" s="37">
        <f t="shared" si="3"/>
        <v>8.3726921425504502E-2</v>
      </c>
    </row>
    <row r="204" spans="1:14" x14ac:dyDescent="0.25">
      <c r="A204" s="23" t="s">
        <v>250</v>
      </c>
      <c r="B204" s="24" t="s">
        <v>25</v>
      </c>
      <c r="C204" s="25">
        <v>45449</v>
      </c>
      <c r="D204" s="24" t="s">
        <v>15</v>
      </c>
      <c r="E204" s="24" t="s">
        <v>26</v>
      </c>
      <c r="F204" s="24">
        <v>2728</v>
      </c>
      <c r="G204" s="24">
        <v>533</v>
      </c>
      <c r="H204" s="24">
        <v>215</v>
      </c>
      <c r="I204" s="24">
        <v>40920</v>
      </c>
      <c r="J204" s="24">
        <v>40816</v>
      </c>
      <c r="K204" s="24">
        <v>137</v>
      </c>
      <c r="L204" s="24" t="s">
        <v>51</v>
      </c>
      <c r="M204" s="26" t="s">
        <v>23</v>
      </c>
      <c r="N204" s="37">
        <f t="shared" si="3"/>
        <v>8.4946236559139784E-2</v>
      </c>
    </row>
    <row r="205" spans="1:14" x14ac:dyDescent="0.25">
      <c r="A205" s="27" t="s">
        <v>251</v>
      </c>
      <c r="B205" s="28" t="s">
        <v>38</v>
      </c>
      <c r="C205" s="29">
        <v>45740</v>
      </c>
      <c r="D205" s="28" t="s">
        <v>15</v>
      </c>
      <c r="E205" s="28" t="s">
        <v>53</v>
      </c>
      <c r="F205" s="28">
        <v>3360</v>
      </c>
      <c r="G205" s="28">
        <v>525</v>
      </c>
      <c r="H205" s="28">
        <v>500</v>
      </c>
      <c r="I205" s="28">
        <v>60480</v>
      </c>
      <c r="J205" s="28">
        <v>59610</v>
      </c>
      <c r="K205" s="28">
        <v>192</v>
      </c>
      <c r="L205" s="28" t="s">
        <v>27</v>
      </c>
      <c r="M205" s="30" t="s">
        <v>18</v>
      </c>
      <c r="N205" s="37">
        <f t="shared" si="3"/>
        <v>7.2503306878306875E-2</v>
      </c>
    </row>
    <row r="206" spans="1:14" x14ac:dyDescent="0.25">
      <c r="A206" s="23" t="s">
        <v>252</v>
      </c>
      <c r="B206" s="24" t="s">
        <v>25</v>
      </c>
      <c r="C206" s="25">
        <v>45569</v>
      </c>
      <c r="D206" s="24" t="s">
        <v>20</v>
      </c>
      <c r="E206" s="24" t="s">
        <v>77</v>
      </c>
      <c r="F206" s="24">
        <v>1963</v>
      </c>
      <c r="G206" s="24">
        <v>213</v>
      </c>
      <c r="H206" s="24">
        <v>19</v>
      </c>
      <c r="I206" s="24">
        <v>39260</v>
      </c>
      <c r="J206" s="24">
        <v>38771</v>
      </c>
      <c r="K206" s="24">
        <v>145</v>
      </c>
      <c r="L206" s="24" t="s">
        <v>51</v>
      </c>
      <c r="M206" s="26"/>
      <c r="N206" s="37">
        <f t="shared" si="3"/>
        <v>5.5909322465613857E-2</v>
      </c>
    </row>
    <row r="207" spans="1:14" x14ac:dyDescent="0.25">
      <c r="A207" s="27" t="s">
        <v>253</v>
      </c>
      <c r="B207" s="28" t="s">
        <v>25</v>
      </c>
      <c r="C207" s="29">
        <v>45629</v>
      </c>
      <c r="D207" s="28" t="s">
        <v>31</v>
      </c>
      <c r="E207" s="28" t="s">
        <v>105</v>
      </c>
      <c r="F207" s="28">
        <v>4285</v>
      </c>
      <c r="G207" s="28">
        <v>886</v>
      </c>
      <c r="H207" s="28">
        <v>376</v>
      </c>
      <c r="I207" s="28">
        <v>55705</v>
      </c>
      <c r="J207" s="28">
        <v>55556</v>
      </c>
      <c r="K207" s="28">
        <v>51</v>
      </c>
      <c r="L207" s="28" t="s">
        <v>51</v>
      </c>
      <c r="M207" s="30" t="s">
        <v>28</v>
      </c>
      <c r="N207" s="37">
        <f t="shared" si="3"/>
        <v>9.9578134817341346E-2</v>
      </c>
    </row>
    <row r="208" spans="1:14" x14ac:dyDescent="0.25">
      <c r="A208" s="23" t="s">
        <v>254</v>
      </c>
      <c r="B208" s="24" t="s">
        <v>30</v>
      </c>
      <c r="C208" s="25">
        <v>45625</v>
      </c>
      <c r="D208" s="24" t="s">
        <v>59</v>
      </c>
      <c r="E208" s="24" t="s">
        <v>66</v>
      </c>
      <c r="F208" s="24">
        <v>1176</v>
      </c>
      <c r="G208" s="24">
        <v>464</v>
      </c>
      <c r="H208" s="24">
        <v>394</v>
      </c>
      <c r="I208" s="24">
        <v>14112</v>
      </c>
      <c r="J208" s="24">
        <v>13588</v>
      </c>
      <c r="K208" s="24">
        <v>272</v>
      </c>
      <c r="L208" s="24" t="s">
        <v>33</v>
      </c>
      <c r="M208" s="26"/>
      <c r="N208" s="37">
        <f t="shared" si="3"/>
        <v>0.1441326530612245</v>
      </c>
    </row>
    <row r="209" spans="1:14" x14ac:dyDescent="0.25">
      <c r="A209" s="27" t="s">
        <v>255</v>
      </c>
      <c r="B209" s="28" t="s">
        <v>14</v>
      </c>
      <c r="C209" s="29">
        <v>45546</v>
      </c>
      <c r="D209" s="28" t="s">
        <v>44</v>
      </c>
      <c r="E209" s="28" t="s">
        <v>92</v>
      </c>
      <c r="F209" s="28">
        <v>4858</v>
      </c>
      <c r="G209" s="28">
        <v>317</v>
      </c>
      <c r="H209" s="28">
        <v>129</v>
      </c>
      <c r="I209" s="28">
        <v>53438</v>
      </c>
      <c r="J209" s="28">
        <v>52687</v>
      </c>
      <c r="K209" s="28">
        <v>223</v>
      </c>
      <c r="L209" s="28" t="s">
        <v>33</v>
      </c>
      <c r="M209" s="30" t="s">
        <v>28</v>
      </c>
      <c r="N209" s="37">
        <f t="shared" si="3"/>
        <v>9.9255211647142488E-2</v>
      </c>
    </row>
    <row r="210" spans="1:14" x14ac:dyDescent="0.25">
      <c r="A210" s="23" t="s">
        <v>256</v>
      </c>
      <c r="B210" s="24" t="s">
        <v>25</v>
      </c>
      <c r="C210" s="25">
        <v>45567</v>
      </c>
      <c r="D210" s="24" t="s">
        <v>31</v>
      </c>
      <c r="E210" s="24" t="s">
        <v>105</v>
      </c>
      <c r="F210" s="24">
        <v>4350</v>
      </c>
      <c r="G210" s="24">
        <v>771</v>
      </c>
      <c r="H210" s="24">
        <v>7</v>
      </c>
      <c r="I210" s="24">
        <v>60900</v>
      </c>
      <c r="J210" s="24">
        <v>60592</v>
      </c>
      <c r="K210" s="24">
        <v>195</v>
      </c>
      <c r="L210" s="24" t="s">
        <v>33</v>
      </c>
      <c r="M210" s="26" t="s">
        <v>18</v>
      </c>
      <c r="N210" s="37">
        <f t="shared" si="3"/>
        <v>8.4203612479474554E-2</v>
      </c>
    </row>
    <row r="211" spans="1:14" x14ac:dyDescent="0.25">
      <c r="A211" s="27" t="s">
        <v>257</v>
      </c>
      <c r="B211" s="28" t="s">
        <v>30</v>
      </c>
      <c r="C211" s="29">
        <v>45519</v>
      </c>
      <c r="D211" s="28" t="s">
        <v>39</v>
      </c>
      <c r="E211" s="28" t="s">
        <v>68</v>
      </c>
      <c r="F211" s="28">
        <v>914</v>
      </c>
      <c r="G211" s="28">
        <v>464</v>
      </c>
      <c r="H211" s="28">
        <v>246</v>
      </c>
      <c r="I211" s="28">
        <v>11882</v>
      </c>
      <c r="J211" s="28">
        <v>11500</v>
      </c>
      <c r="K211" s="28">
        <v>282</v>
      </c>
      <c r="L211" s="28" t="s">
        <v>51</v>
      </c>
      <c r="M211" s="30" t="s">
        <v>34</v>
      </c>
      <c r="N211" s="37">
        <f t="shared" si="3"/>
        <v>0.13667732704931829</v>
      </c>
    </row>
    <row r="212" spans="1:14" x14ac:dyDescent="0.25">
      <c r="A212" s="23" t="s">
        <v>257</v>
      </c>
      <c r="B212" s="24" t="s">
        <v>30</v>
      </c>
      <c r="C212" s="25">
        <v>45519</v>
      </c>
      <c r="D212" s="24" t="s">
        <v>39</v>
      </c>
      <c r="E212" s="24" t="s">
        <v>68</v>
      </c>
      <c r="F212" s="24">
        <v>914</v>
      </c>
      <c r="G212" s="24">
        <v>464</v>
      </c>
      <c r="H212" s="24">
        <v>246</v>
      </c>
      <c r="I212" s="24">
        <v>11882</v>
      </c>
      <c r="J212" s="24">
        <v>11500</v>
      </c>
      <c r="K212" s="24">
        <v>282</v>
      </c>
      <c r="L212" s="24" t="s">
        <v>27</v>
      </c>
      <c r="M212" s="26" t="s">
        <v>34</v>
      </c>
      <c r="N212" s="37">
        <f t="shared" si="3"/>
        <v>0.13667732704931829</v>
      </c>
    </row>
    <row r="213" spans="1:14" x14ac:dyDescent="0.25">
      <c r="A213" s="27" t="s">
        <v>257</v>
      </c>
      <c r="B213" s="28" t="s">
        <v>30</v>
      </c>
      <c r="C213" s="29">
        <v>45519</v>
      </c>
      <c r="D213" s="28" t="s">
        <v>39</v>
      </c>
      <c r="E213" s="28" t="s">
        <v>68</v>
      </c>
      <c r="F213" s="28">
        <v>914</v>
      </c>
      <c r="G213" s="28">
        <v>464</v>
      </c>
      <c r="H213" s="28">
        <v>246</v>
      </c>
      <c r="I213" s="28">
        <v>11882</v>
      </c>
      <c r="J213" s="28">
        <v>11500</v>
      </c>
      <c r="K213" s="28">
        <v>282</v>
      </c>
      <c r="L213" s="28" t="s">
        <v>379</v>
      </c>
      <c r="M213" s="30" t="s">
        <v>34</v>
      </c>
      <c r="N213" s="37">
        <f t="shared" si="3"/>
        <v>0.13667732704931829</v>
      </c>
    </row>
    <row r="214" spans="1:14" x14ac:dyDescent="0.25">
      <c r="A214" s="23" t="s">
        <v>258</v>
      </c>
      <c r="B214" s="24" t="s">
        <v>30</v>
      </c>
      <c r="C214" s="25">
        <v>45645</v>
      </c>
      <c r="D214" s="24" t="s">
        <v>20</v>
      </c>
      <c r="E214" s="24" t="s">
        <v>82</v>
      </c>
      <c r="F214" s="24">
        <v>1813</v>
      </c>
      <c r="G214" s="24">
        <v>623</v>
      </c>
      <c r="H214" s="24">
        <v>72</v>
      </c>
      <c r="I214" s="24">
        <v>19943</v>
      </c>
      <c r="J214" s="24">
        <v>18959</v>
      </c>
      <c r="K214" s="24">
        <v>85</v>
      </c>
      <c r="L214" s="24" t="s">
        <v>33</v>
      </c>
      <c r="M214" s="26" t="s">
        <v>28</v>
      </c>
      <c r="N214" s="37">
        <f t="shared" si="3"/>
        <v>0.12575841147269717</v>
      </c>
    </row>
    <row r="215" spans="1:14" x14ac:dyDescent="0.25">
      <c r="A215" s="27" t="s">
        <v>259</v>
      </c>
      <c r="B215" s="28" t="s">
        <v>14</v>
      </c>
      <c r="C215" s="29">
        <v>45587</v>
      </c>
      <c r="D215" s="28" t="s">
        <v>15</v>
      </c>
      <c r="E215" s="28" t="s">
        <v>16</v>
      </c>
      <c r="F215" s="28">
        <v>4782</v>
      </c>
      <c r="G215" s="28">
        <v>721</v>
      </c>
      <c r="H215" s="28">
        <v>82</v>
      </c>
      <c r="I215" s="28">
        <v>86076</v>
      </c>
      <c r="J215" s="28">
        <v>85339</v>
      </c>
      <c r="K215" s="28">
        <v>19</v>
      </c>
      <c r="L215" s="28" t="s">
        <v>33</v>
      </c>
      <c r="M215" s="30" t="s">
        <v>18</v>
      </c>
      <c r="N215" s="37">
        <f t="shared" si="3"/>
        <v>6.4884520656164318E-2</v>
      </c>
    </row>
    <row r="216" spans="1:14" x14ac:dyDescent="0.25">
      <c r="A216" s="23" t="s">
        <v>260</v>
      </c>
      <c r="B216" s="24" t="s">
        <v>14</v>
      </c>
      <c r="C216" s="25">
        <v>45549</v>
      </c>
      <c r="D216" s="24" t="s">
        <v>44</v>
      </c>
      <c r="E216" s="24" t="s">
        <v>92</v>
      </c>
      <c r="F216" s="24">
        <v>1048</v>
      </c>
      <c r="G216" s="24">
        <v>374</v>
      </c>
      <c r="H216" s="24">
        <v>450</v>
      </c>
      <c r="I216" s="24">
        <v>9432</v>
      </c>
      <c r="J216" s="24">
        <v>8882</v>
      </c>
      <c r="K216" s="24">
        <v>158</v>
      </c>
      <c r="L216" s="24" t="s">
        <v>27</v>
      </c>
      <c r="M216" s="26" t="s">
        <v>28</v>
      </c>
      <c r="N216" s="37">
        <f t="shared" si="3"/>
        <v>0.19847328244274809</v>
      </c>
    </row>
    <row r="217" spans="1:14" x14ac:dyDescent="0.25">
      <c r="A217" s="27" t="s">
        <v>261</v>
      </c>
      <c r="B217" s="28" t="s">
        <v>25</v>
      </c>
      <c r="C217" s="29">
        <v>45626</v>
      </c>
      <c r="D217" s="28" t="s">
        <v>39</v>
      </c>
      <c r="E217" s="28" t="s">
        <v>55</v>
      </c>
      <c r="F217" s="28">
        <v>2509</v>
      </c>
      <c r="G217" s="28">
        <v>324</v>
      </c>
      <c r="H217" s="28">
        <v>171</v>
      </c>
      <c r="I217" s="28">
        <v>35126</v>
      </c>
      <c r="J217" s="28">
        <v>34685</v>
      </c>
      <c r="K217" s="28">
        <v>277</v>
      </c>
      <c r="L217" s="28" t="s">
        <v>27</v>
      </c>
      <c r="M217" s="30" t="s">
        <v>23</v>
      </c>
      <c r="N217" s="37">
        <f t="shared" si="3"/>
        <v>8.5520696919660646E-2</v>
      </c>
    </row>
    <row r="218" spans="1:14" x14ac:dyDescent="0.25">
      <c r="A218" s="23" t="s">
        <v>262</v>
      </c>
      <c r="B218" s="24" t="s">
        <v>38</v>
      </c>
      <c r="C218" s="25">
        <v>45754</v>
      </c>
      <c r="D218" s="24" t="s">
        <v>15</v>
      </c>
      <c r="E218" s="24" t="s">
        <v>53</v>
      </c>
      <c r="F218" s="24">
        <v>3718</v>
      </c>
      <c r="G218" s="24">
        <v>385</v>
      </c>
      <c r="H218" s="24">
        <v>310</v>
      </c>
      <c r="I218" s="24">
        <v>70642</v>
      </c>
      <c r="J218" s="24">
        <v>69749</v>
      </c>
      <c r="K218" s="24">
        <v>233</v>
      </c>
      <c r="L218" s="24" t="s">
        <v>27</v>
      </c>
      <c r="M218" s="26" t="s">
        <v>23</v>
      </c>
      <c r="N218" s="37">
        <f t="shared" si="3"/>
        <v>6.246991874522239E-2</v>
      </c>
    </row>
    <row r="219" spans="1:14" x14ac:dyDescent="0.25">
      <c r="A219" s="27" t="s">
        <v>263</v>
      </c>
      <c r="B219" s="28" t="s">
        <v>14</v>
      </c>
      <c r="C219" s="29">
        <v>45672</v>
      </c>
      <c r="D219" s="28" t="s">
        <v>15</v>
      </c>
      <c r="E219" s="28" t="s">
        <v>16</v>
      </c>
      <c r="F219" s="28">
        <v>802</v>
      </c>
      <c r="G219" s="28">
        <v>262</v>
      </c>
      <c r="H219" s="28">
        <v>244</v>
      </c>
      <c r="I219" s="28">
        <v>14436</v>
      </c>
      <c r="J219" s="28">
        <v>14280</v>
      </c>
      <c r="K219" s="28">
        <v>49</v>
      </c>
      <c r="L219" s="28" t="s">
        <v>33</v>
      </c>
      <c r="M219" s="30" t="s">
        <v>18</v>
      </c>
      <c r="N219" s="37">
        <f t="shared" si="3"/>
        <v>9.0606816292601824E-2</v>
      </c>
    </row>
    <row r="220" spans="1:14" x14ac:dyDescent="0.25">
      <c r="A220" s="23" t="s">
        <v>264</v>
      </c>
      <c r="B220" s="24" t="s">
        <v>38</v>
      </c>
      <c r="C220" s="25">
        <v>45445</v>
      </c>
      <c r="D220" s="24" t="s">
        <v>44</v>
      </c>
      <c r="E220" s="24" t="s">
        <v>49</v>
      </c>
      <c r="F220" s="24">
        <v>1871</v>
      </c>
      <c r="G220" s="24">
        <v>252</v>
      </c>
      <c r="H220" s="24">
        <v>335</v>
      </c>
      <c r="I220" s="24">
        <v>29936</v>
      </c>
      <c r="J220" s="24">
        <v>29576</v>
      </c>
      <c r="K220" s="24">
        <v>288</v>
      </c>
      <c r="L220" s="24" t="s">
        <v>33</v>
      </c>
      <c r="M220" s="26" t="s">
        <v>28</v>
      </c>
      <c r="N220" s="37">
        <f t="shared" si="3"/>
        <v>8.2108498129342594E-2</v>
      </c>
    </row>
    <row r="221" spans="1:14" x14ac:dyDescent="0.25">
      <c r="A221" s="27" t="s">
        <v>265</v>
      </c>
      <c r="B221" s="28" t="s">
        <v>30</v>
      </c>
      <c r="C221" s="29">
        <v>45617</v>
      </c>
      <c r="D221" s="28" t="s">
        <v>39</v>
      </c>
      <c r="E221" s="28" t="s">
        <v>68</v>
      </c>
      <c r="F221" s="28">
        <v>3773</v>
      </c>
      <c r="G221" s="28">
        <v>299</v>
      </c>
      <c r="H221" s="28">
        <v>38</v>
      </c>
      <c r="I221" s="28">
        <v>71687</v>
      </c>
      <c r="J221" s="28">
        <v>71447</v>
      </c>
      <c r="K221" s="28">
        <v>286</v>
      </c>
      <c r="L221" s="28" t="s">
        <v>51</v>
      </c>
      <c r="M221" s="30" t="s">
        <v>18</v>
      </c>
      <c r="N221" s="37">
        <f t="shared" si="3"/>
        <v>5.7332570758993957E-2</v>
      </c>
    </row>
    <row r="222" spans="1:14" x14ac:dyDescent="0.25">
      <c r="A222" s="23" t="s">
        <v>266</v>
      </c>
      <c r="B222" s="24" t="s">
        <v>30</v>
      </c>
      <c r="C222" s="25">
        <v>45658</v>
      </c>
      <c r="D222" s="24" t="s">
        <v>39</v>
      </c>
      <c r="E222" s="24" t="s">
        <v>68</v>
      </c>
      <c r="F222" s="24">
        <v>2234</v>
      </c>
      <c r="G222" s="24">
        <v>653</v>
      </c>
      <c r="H222" s="24">
        <v>432</v>
      </c>
      <c r="I222" s="24">
        <v>11170</v>
      </c>
      <c r="J222" s="24">
        <v>10569</v>
      </c>
      <c r="K222" s="24">
        <v>198</v>
      </c>
      <c r="L222" s="24" t="s">
        <v>51</v>
      </c>
      <c r="M222" s="26" t="s">
        <v>28</v>
      </c>
      <c r="N222" s="37">
        <f t="shared" si="3"/>
        <v>0.29713518352730528</v>
      </c>
    </row>
    <row r="223" spans="1:14" x14ac:dyDescent="0.25">
      <c r="A223" s="27" t="s">
        <v>267</v>
      </c>
      <c r="B223" s="28" t="s">
        <v>14</v>
      </c>
      <c r="C223" s="29">
        <v>45771</v>
      </c>
      <c r="D223" s="28" t="s">
        <v>59</v>
      </c>
      <c r="E223" s="28" t="s">
        <v>99</v>
      </c>
      <c r="F223" s="28">
        <v>3820</v>
      </c>
      <c r="G223" s="28">
        <v>697</v>
      </c>
      <c r="H223" s="28">
        <v>268</v>
      </c>
      <c r="I223" s="28">
        <v>45840</v>
      </c>
      <c r="J223" s="28">
        <v>45631</v>
      </c>
      <c r="K223" s="28">
        <v>171</v>
      </c>
      <c r="L223" s="28" t="s">
        <v>27</v>
      </c>
      <c r="M223" s="30" t="s">
        <v>34</v>
      </c>
      <c r="N223" s="37">
        <f t="shared" si="3"/>
        <v>0.1043848167539267</v>
      </c>
    </row>
    <row r="224" spans="1:14" x14ac:dyDescent="0.25">
      <c r="A224" s="23" t="s">
        <v>267</v>
      </c>
      <c r="B224" s="24" t="s">
        <v>14</v>
      </c>
      <c r="C224" s="25">
        <v>45771</v>
      </c>
      <c r="D224" s="24" t="s">
        <v>59</v>
      </c>
      <c r="E224" s="24" t="s">
        <v>99</v>
      </c>
      <c r="F224" s="24">
        <v>3820</v>
      </c>
      <c r="G224" s="24">
        <v>697</v>
      </c>
      <c r="H224" s="24">
        <v>268</v>
      </c>
      <c r="I224" s="24">
        <v>45840</v>
      </c>
      <c r="J224" s="24">
        <v>45631</v>
      </c>
      <c r="K224" s="24">
        <v>171</v>
      </c>
      <c r="L224" s="24" t="s">
        <v>381</v>
      </c>
      <c r="M224" s="26" t="s">
        <v>34</v>
      </c>
      <c r="N224" s="37">
        <f t="shared" si="3"/>
        <v>0.1043848167539267</v>
      </c>
    </row>
    <row r="225" spans="1:14" x14ac:dyDescent="0.25">
      <c r="A225" s="27" t="s">
        <v>269</v>
      </c>
      <c r="B225" s="28" t="s">
        <v>14</v>
      </c>
      <c r="C225" s="29">
        <v>45467</v>
      </c>
      <c r="D225" s="28" t="s">
        <v>20</v>
      </c>
      <c r="E225" s="28" t="s">
        <v>21</v>
      </c>
      <c r="F225" s="28">
        <v>941</v>
      </c>
      <c r="G225" s="28">
        <v>121</v>
      </c>
      <c r="H225" s="28">
        <v>458</v>
      </c>
      <c r="I225" s="28">
        <v>14115</v>
      </c>
      <c r="J225" s="28">
        <v>13838</v>
      </c>
      <c r="K225" s="28">
        <v>87</v>
      </c>
      <c r="L225" s="28" t="s">
        <v>33</v>
      </c>
      <c r="M225" s="30" t="s">
        <v>18</v>
      </c>
      <c r="N225" s="37">
        <f t="shared" si="3"/>
        <v>0.10768685795253277</v>
      </c>
    </row>
    <row r="226" spans="1:14" x14ac:dyDescent="0.25">
      <c r="A226" s="23" t="s">
        <v>270</v>
      </c>
      <c r="B226" s="24" t="s">
        <v>14</v>
      </c>
      <c r="C226" s="25">
        <v>45655</v>
      </c>
      <c r="D226" s="24" t="s">
        <v>39</v>
      </c>
      <c r="E226" s="24" t="s">
        <v>42</v>
      </c>
      <c r="F226" s="24">
        <v>4274</v>
      </c>
      <c r="G226" s="24">
        <v>340</v>
      </c>
      <c r="H226" s="24">
        <v>281</v>
      </c>
      <c r="I226" s="24">
        <v>34192</v>
      </c>
      <c r="J226" s="24">
        <v>33446</v>
      </c>
      <c r="K226" s="24">
        <v>129</v>
      </c>
      <c r="L226" s="24" t="s">
        <v>27</v>
      </c>
      <c r="M226" s="26" t="s">
        <v>28</v>
      </c>
      <c r="N226" s="37">
        <f t="shared" si="3"/>
        <v>0.14316214319138981</v>
      </c>
    </row>
    <row r="227" spans="1:14" x14ac:dyDescent="0.25">
      <c r="A227" s="27" t="s">
        <v>270</v>
      </c>
      <c r="B227" s="28" t="s">
        <v>14</v>
      </c>
      <c r="C227" s="29">
        <v>45655</v>
      </c>
      <c r="D227" s="28" t="s">
        <v>39</v>
      </c>
      <c r="E227" s="28" t="s">
        <v>42</v>
      </c>
      <c r="F227" s="28">
        <v>4274</v>
      </c>
      <c r="G227" s="28">
        <v>340</v>
      </c>
      <c r="H227" s="28">
        <v>281</v>
      </c>
      <c r="I227" s="28">
        <v>34192</v>
      </c>
      <c r="J227" s="28">
        <v>33446</v>
      </c>
      <c r="K227" s="28">
        <v>129</v>
      </c>
      <c r="L227" s="28" t="s">
        <v>381</v>
      </c>
      <c r="M227" s="30" t="s">
        <v>28</v>
      </c>
      <c r="N227" s="37">
        <f t="shared" si="3"/>
        <v>0.14316214319138981</v>
      </c>
    </row>
    <row r="228" spans="1:14" x14ac:dyDescent="0.25">
      <c r="A228" s="23" t="s">
        <v>271</v>
      </c>
      <c r="B228" s="24" t="s">
        <v>25</v>
      </c>
      <c r="C228" s="25">
        <v>45467</v>
      </c>
      <c r="D228" s="24" t="s">
        <v>59</v>
      </c>
      <c r="E228" s="24" t="s">
        <v>143</v>
      </c>
      <c r="F228" s="24">
        <v>2949</v>
      </c>
      <c r="G228" s="24">
        <v>476</v>
      </c>
      <c r="H228" s="24">
        <v>403</v>
      </c>
      <c r="I228" s="24">
        <v>44235</v>
      </c>
      <c r="J228" s="24">
        <v>43705</v>
      </c>
      <c r="K228" s="24">
        <v>135</v>
      </c>
      <c r="L228" s="24" t="s">
        <v>27</v>
      </c>
      <c r="M228" s="26" t="s">
        <v>23</v>
      </c>
      <c r="N228" s="37">
        <f t="shared" si="3"/>
        <v>8.6537809426924378E-2</v>
      </c>
    </row>
    <row r="229" spans="1:14" x14ac:dyDescent="0.25">
      <c r="A229" s="27" t="s">
        <v>272</v>
      </c>
      <c r="B229" s="28" t="s">
        <v>14</v>
      </c>
      <c r="C229" s="29">
        <v>45735</v>
      </c>
      <c r="D229" s="28" t="s">
        <v>59</v>
      </c>
      <c r="E229" s="28" t="s">
        <v>99</v>
      </c>
      <c r="F229" s="28">
        <v>3160</v>
      </c>
      <c r="G229" s="28">
        <v>204</v>
      </c>
      <c r="H229" s="28">
        <v>297</v>
      </c>
      <c r="I229" s="28">
        <v>44240</v>
      </c>
      <c r="J229" s="28">
        <v>43666</v>
      </c>
      <c r="K229" s="28">
        <v>49</v>
      </c>
      <c r="L229" s="28" t="s">
        <v>51</v>
      </c>
      <c r="M229" s="30" t="s">
        <v>34</v>
      </c>
      <c r="N229" s="37">
        <f t="shared" si="3"/>
        <v>8.2753164556962022E-2</v>
      </c>
    </row>
    <row r="230" spans="1:14" x14ac:dyDescent="0.25">
      <c r="A230" s="23" t="s">
        <v>272</v>
      </c>
      <c r="B230" s="24" t="s">
        <v>14</v>
      </c>
      <c r="C230" s="25">
        <v>45735</v>
      </c>
      <c r="D230" s="24" t="s">
        <v>59</v>
      </c>
      <c r="E230" s="24" t="s">
        <v>99</v>
      </c>
      <c r="F230" s="24">
        <v>3160</v>
      </c>
      <c r="G230" s="24">
        <v>204</v>
      </c>
      <c r="H230" s="24">
        <v>297</v>
      </c>
      <c r="I230" s="24">
        <v>44240</v>
      </c>
      <c r="J230" s="24">
        <v>43666</v>
      </c>
      <c r="K230" s="24">
        <v>49</v>
      </c>
      <c r="L230" s="24" t="s">
        <v>379</v>
      </c>
      <c r="M230" s="26" t="s">
        <v>34</v>
      </c>
      <c r="N230" s="37">
        <f t="shared" si="3"/>
        <v>8.2753164556962022E-2</v>
      </c>
    </row>
    <row r="231" spans="1:14" x14ac:dyDescent="0.25">
      <c r="A231" s="27" t="s">
        <v>273</v>
      </c>
      <c r="B231" s="28" t="s">
        <v>25</v>
      </c>
      <c r="C231" s="29">
        <v>45707</v>
      </c>
      <c r="D231" s="28" t="s">
        <v>44</v>
      </c>
      <c r="E231" s="28" t="s">
        <v>45</v>
      </c>
      <c r="F231" s="28">
        <v>257</v>
      </c>
      <c r="G231" s="28">
        <v>966</v>
      </c>
      <c r="H231" s="28">
        <v>398</v>
      </c>
      <c r="I231" s="28">
        <v>3341</v>
      </c>
      <c r="J231" s="28">
        <v>2753</v>
      </c>
      <c r="K231" s="28">
        <v>287</v>
      </c>
      <c r="L231" s="28" t="s">
        <v>51</v>
      </c>
      <c r="M231" s="30" t="s">
        <v>18</v>
      </c>
      <c r="N231" s="37">
        <f t="shared" si="3"/>
        <v>0.48518407662376534</v>
      </c>
    </row>
    <row r="232" spans="1:14" x14ac:dyDescent="0.25">
      <c r="A232" s="23" t="s">
        <v>274</v>
      </c>
      <c r="B232" s="24" t="s">
        <v>14</v>
      </c>
      <c r="C232" s="25">
        <v>45491</v>
      </c>
      <c r="D232" s="24" t="s">
        <v>39</v>
      </c>
      <c r="E232" s="24" t="s">
        <v>42</v>
      </c>
      <c r="F232" s="24">
        <v>2120</v>
      </c>
      <c r="G232" s="24">
        <v>38</v>
      </c>
      <c r="H232" s="24">
        <v>212</v>
      </c>
      <c r="I232" s="24">
        <v>12720</v>
      </c>
      <c r="J232" s="24">
        <v>12564</v>
      </c>
      <c r="K232" s="24">
        <v>21</v>
      </c>
      <c r="L232" s="24" t="s">
        <v>51</v>
      </c>
      <c r="M232" s="26" t="s">
        <v>34</v>
      </c>
      <c r="N232" s="37">
        <f t="shared" si="3"/>
        <v>0.18632075471698112</v>
      </c>
    </row>
    <row r="233" spans="1:14" x14ac:dyDescent="0.25">
      <c r="A233" s="27" t="s">
        <v>275</v>
      </c>
      <c r="B233" s="28" t="s">
        <v>25</v>
      </c>
      <c r="C233" s="29">
        <v>45719</v>
      </c>
      <c r="D233" s="28" t="s">
        <v>59</v>
      </c>
      <c r="E233" s="28" t="s">
        <v>143</v>
      </c>
      <c r="F233" s="28">
        <v>3874</v>
      </c>
      <c r="G233" s="28">
        <v>884</v>
      </c>
      <c r="H233" s="28">
        <v>19</v>
      </c>
      <c r="I233" s="28">
        <v>38740</v>
      </c>
      <c r="J233" s="28">
        <v>38552</v>
      </c>
      <c r="K233" s="28">
        <v>219</v>
      </c>
      <c r="L233" s="28" t="s">
        <v>27</v>
      </c>
      <c r="M233" s="30" t="s">
        <v>23</v>
      </c>
      <c r="N233" s="37">
        <f t="shared" si="3"/>
        <v>0.123309241094476</v>
      </c>
    </row>
    <row r="234" spans="1:14" x14ac:dyDescent="0.25">
      <c r="A234" s="23" t="s">
        <v>276</v>
      </c>
      <c r="B234" s="24" t="s">
        <v>38</v>
      </c>
      <c r="C234" s="25">
        <v>45778</v>
      </c>
      <c r="D234" s="24" t="s">
        <v>39</v>
      </c>
      <c r="E234" s="24" t="s">
        <v>40</v>
      </c>
      <c r="F234" s="24">
        <v>2696</v>
      </c>
      <c r="G234" s="24">
        <v>628</v>
      </c>
      <c r="H234" s="24">
        <v>443</v>
      </c>
      <c r="I234" s="24">
        <v>45832</v>
      </c>
      <c r="J234" s="24">
        <v>45632</v>
      </c>
      <c r="K234" s="24">
        <v>248</v>
      </c>
      <c r="L234" s="24" t="s">
        <v>33</v>
      </c>
      <c r="M234" s="26" t="s">
        <v>34</v>
      </c>
      <c r="N234" s="37">
        <f t="shared" si="3"/>
        <v>8.21914819340199E-2</v>
      </c>
    </row>
    <row r="235" spans="1:14" x14ac:dyDescent="0.25">
      <c r="A235" s="27" t="s">
        <v>277</v>
      </c>
      <c r="B235" s="28" t="s">
        <v>30</v>
      </c>
      <c r="C235" s="29">
        <v>45649</v>
      </c>
      <c r="D235" s="28" t="s">
        <v>44</v>
      </c>
      <c r="E235" s="28" t="s">
        <v>140</v>
      </c>
      <c r="F235" s="28">
        <v>521</v>
      </c>
      <c r="G235" s="28">
        <v>746</v>
      </c>
      <c r="H235" s="28">
        <v>315</v>
      </c>
      <c r="I235" s="28">
        <v>4168</v>
      </c>
      <c r="J235" s="28">
        <v>3399</v>
      </c>
      <c r="K235" s="28">
        <v>282</v>
      </c>
      <c r="L235" s="28" t="s">
        <v>51</v>
      </c>
      <c r="M235" s="30" t="s">
        <v>23</v>
      </c>
      <c r="N235" s="37">
        <f t="shared" si="3"/>
        <v>0.37955854126679461</v>
      </c>
    </row>
    <row r="236" spans="1:14" x14ac:dyDescent="0.25">
      <c r="A236" s="23" t="s">
        <v>278</v>
      </c>
      <c r="B236" s="24" t="s">
        <v>38</v>
      </c>
      <c r="C236" s="25">
        <v>45783</v>
      </c>
      <c r="D236" s="24" t="s">
        <v>44</v>
      </c>
      <c r="E236" s="24" t="s">
        <v>49</v>
      </c>
      <c r="F236" s="24">
        <v>4872</v>
      </c>
      <c r="G236" s="24">
        <v>925</v>
      </c>
      <c r="H236" s="24">
        <v>176</v>
      </c>
      <c r="I236" s="24">
        <v>82824</v>
      </c>
      <c r="J236" s="24">
        <v>82543</v>
      </c>
      <c r="K236" s="24">
        <v>89</v>
      </c>
      <c r="L236" s="24" t="s">
        <v>33</v>
      </c>
      <c r="M236" s="26" t="s">
        <v>23</v>
      </c>
      <c r="N236" s="37">
        <f t="shared" si="3"/>
        <v>7.2116777745580993E-2</v>
      </c>
    </row>
    <row r="237" spans="1:14" x14ac:dyDescent="0.25">
      <c r="A237" s="27" t="s">
        <v>279</v>
      </c>
      <c r="B237" s="28" t="s">
        <v>25</v>
      </c>
      <c r="C237" s="29">
        <v>45502</v>
      </c>
      <c r="D237" s="28" t="s">
        <v>31</v>
      </c>
      <c r="E237" s="28" t="s">
        <v>105</v>
      </c>
      <c r="F237" s="28">
        <v>1509</v>
      </c>
      <c r="G237" s="28">
        <v>88</v>
      </c>
      <c r="H237" s="28">
        <v>163</v>
      </c>
      <c r="I237" s="28">
        <v>30180</v>
      </c>
      <c r="J237" s="28">
        <v>29689</v>
      </c>
      <c r="K237" s="28">
        <v>119</v>
      </c>
      <c r="L237" s="28" t="s">
        <v>33</v>
      </c>
      <c r="M237" s="30" t="s">
        <v>23</v>
      </c>
      <c r="N237" s="37">
        <f t="shared" si="3"/>
        <v>5.8316766070245198E-2</v>
      </c>
    </row>
    <row r="238" spans="1:14" x14ac:dyDescent="0.25">
      <c r="A238" s="23" t="s">
        <v>280</v>
      </c>
      <c r="B238" s="24" t="s">
        <v>38</v>
      </c>
      <c r="C238" s="25">
        <v>45629</v>
      </c>
      <c r="D238" s="24" t="s">
        <v>44</v>
      </c>
      <c r="E238" s="24" t="s">
        <v>49</v>
      </c>
      <c r="F238" s="24">
        <v>4606</v>
      </c>
      <c r="G238" s="24">
        <v>931</v>
      </c>
      <c r="H238" s="24">
        <v>230</v>
      </c>
      <c r="I238" s="24">
        <v>92120</v>
      </c>
      <c r="J238" s="24">
        <v>91440</v>
      </c>
      <c r="K238" s="24">
        <v>56</v>
      </c>
      <c r="L238" s="24" t="s">
        <v>27</v>
      </c>
      <c r="M238" s="26"/>
      <c r="N238" s="37">
        <f t="shared" si="3"/>
        <v>6.2603126356925748E-2</v>
      </c>
    </row>
    <row r="239" spans="1:14" x14ac:dyDescent="0.25">
      <c r="A239" s="27" t="s">
        <v>281</v>
      </c>
      <c r="B239" s="28" t="s">
        <v>38</v>
      </c>
      <c r="C239" s="29">
        <v>45454</v>
      </c>
      <c r="D239" s="28" t="s">
        <v>39</v>
      </c>
      <c r="E239" s="28" t="s">
        <v>40</v>
      </c>
      <c r="F239" s="28">
        <v>1869</v>
      </c>
      <c r="G239" s="28">
        <v>453</v>
      </c>
      <c r="H239" s="28">
        <v>490</v>
      </c>
      <c r="I239" s="28">
        <v>14952</v>
      </c>
      <c r="J239" s="28">
        <v>14309</v>
      </c>
      <c r="K239" s="28">
        <v>275</v>
      </c>
      <c r="L239" s="28" t="s">
        <v>27</v>
      </c>
      <c r="M239" s="30" t="s">
        <v>34</v>
      </c>
      <c r="N239" s="37">
        <f t="shared" si="3"/>
        <v>0.18806848582129482</v>
      </c>
    </row>
    <row r="240" spans="1:14" x14ac:dyDescent="0.25">
      <c r="A240" s="23" t="s">
        <v>282</v>
      </c>
      <c r="B240" s="24" t="s">
        <v>14</v>
      </c>
      <c r="C240" s="25">
        <v>45685</v>
      </c>
      <c r="D240" s="24" t="s">
        <v>15</v>
      </c>
      <c r="E240" s="24" t="s">
        <v>16</v>
      </c>
      <c r="F240" s="24">
        <v>1188</v>
      </c>
      <c r="G240" s="24">
        <v>470</v>
      </c>
      <c r="H240" s="24">
        <v>174</v>
      </c>
      <c r="I240" s="24">
        <v>7128</v>
      </c>
      <c r="J240" s="24">
        <v>6145</v>
      </c>
      <c r="K240" s="24">
        <v>270</v>
      </c>
      <c r="L240" s="24" t="s">
        <v>27</v>
      </c>
      <c r="M240" s="26" t="s">
        <v>34</v>
      </c>
      <c r="N240" s="37">
        <f t="shared" si="3"/>
        <v>0.25701459034792368</v>
      </c>
    </row>
    <row r="241" spans="1:14" x14ac:dyDescent="0.25">
      <c r="A241" s="27" t="s">
        <v>283</v>
      </c>
      <c r="B241" s="28" t="s">
        <v>30</v>
      </c>
      <c r="C241" s="29">
        <v>45445</v>
      </c>
      <c r="D241" s="28" t="s">
        <v>31</v>
      </c>
      <c r="E241" s="28" t="s">
        <v>32</v>
      </c>
      <c r="F241" s="28">
        <v>84</v>
      </c>
      <c r="G241" s="28">
        <v>897</v>
      </c>
      <c r="H241" s="28">
        <v>85</v>
      </c>
      <c r="I241" s="28">
        <v>588</v>
      </c>
      <c r="J241" s="28">
        <v>8</v>
      </c>
      <c r="K241" s="28">
        <v>12</v>
      </c>
      <c r="L241" s="28" t="s">
        <v>33</v>
      </c>
      <c r="M241" s="30"/>
      <c r="N241" s="37">
        <f t="shared" si="3"/>
        <v>1.8129251700680271</v>
      </c>
    </row>
    <row r="242" spans="1:14" x14ac:dyDescent="0.25">
      <c r="A242" s="23" t="s">
        <v>284</v>
      </c>
      <c r="B242" s="24" t="s">
        <v>38</v>
      </c>
      <c r="C242" s="25">
        <v>45739</v>
      </c>
      <c r="D242" s="24" t="s">
        <v>59</v>
      </c>
      <c r="E242" s="24" t="s">
        <v>60</v>
      </c>
      <c r="F242" s="24">
        <v>4453</v>
      </c>
      <c r="G242" s="24">
        <v>111</v>
      </c>
      <c r="H242" s="24">
        <v>420</v>
      </c>
      <c r="I242" s="24">
        <v>31171</v>
      </c>
      <c r="J242" s="24">
        <v>30565</v>
      </c>
      <c r="K242" s="24">
        <v>23</v>
      </c>
      <c r="L242" s="24" t="s">
        <v>27</v>
      </c>
      <c r="M242" s="26"/>
      <c r="N242" s="37">
        <f t="shared" si="3"/>
        <v>0.15989220750056141</v>
      </c>
    </row>
    <row r="243" spans="1:14" x14ac:dyDescent="0.25">
      <c r="A243" s="27" t="s">
        <v>285</v>
      </c>
      <c r="B243" s="28" t="s">
        <v>38</v>
      </c>
      <c r="C243" s="29">
        <v>45573</v>
      </c>
      <c r="D243" s="28" t="s">
        <v>15</v>
      </c>
      <c r="E243" s="28" t="s">
        <v>53</v>
      </c>
      <c r="F243" s="28">
        <v>1814</v>
      </c>
      <c r="G243" s="28">
        <v>653</v>
      </c>
      <c r="H243" s="28">
        <v>363</v>
      </c>
      <c r="I243" s="28">
        <v>25396</v>
      </c>
      <c r="J243" s="28">
        <v>25286</v>
      </c>
      <c r="K243" s="28">
        <v>39</v>
      </c>
      <c r="L243" s="28" t="s">
        <v>51</v>
      </c>
      <c r="M243" s="30" t="s">
        <v>18</v>
      </c>
      <c r="N243" s="37">
        <f t="shared" si="3"/>
        <v>0.11143487163332809</v>
      </c>
    </row>
    <row r="244" spans="1:14" x14ac:dyDescent="0.25">
      <c r="A244" s="23" t="s">
        <v>285</v>
      </c>
      <c r="B244" s="24" t="s">
        <v>38</v>
      </c>
      <c r="C244" s="25">
        <v>45573</v>
      </c>
      <c r="D244" s="24" t="s">
        <v>15</v>
      </c>
      <c r="E244" s="24" t="s">
        <v>53</v>
      </c>
      <c r="F244" s="24">
        <v>1814</v>
      </c>
      <c r="G244" s="24">
        <v>653</v>
      </c>
      <c r="H244" s="24">
        <v>363</v>
      </c>
      <c r="I244" s="24">
        <v>25396</v>
      </c>
      <c r="J244" s="24">
        <v>25286</v>
      </c>
      <c r="K244" s="24">
        <v>39</v>
      </c>
      <c r="L244" s="24" t="s">
        <v>381</v>
      </c>
      <c r="M244" s="26" t="s">
        <v>18</v>
      </c>
      <c r="N244" s="37">
        <f t="shared" si="3"/>
        <v>0.11143487163332809</v>
      </c>
    </row>
    <row r="245" spans="1:14" x14ac:dyDescent="0.25">
      <c r="A245" s="27" t="s">
        <v>287</v>
      </c>
      <c r="B245" s="28" t="s">
        <v>14</v>
      </c>
      <c r="C245" s="29">
        <v>45608</v>
      </c>
      <c r="D245" s="28" t="s">
        <v>44</v>
      </c>
      <c r="E245" s="28" t="s">
        <v>92</v>
      </c>
      <c r="F245" s="28">
        <v>3338</v>
      </c>
      <c r="G245" s="28">
        <v>277</v>
      </c>
      <c r="H245" s="28">
        <v>118</v>
      </c>
      <c r="I245" s="28">
        <v>60084</v>
      </c>
      <c r="J245" s="28">
        <v>59842</v>
      </c>
      <c r="K245" s="28">
        <v>252</v>
      </c>
      <c r="L245" s="28" t="s">
        <v>27</v>
      </c>
      <c r="M245" s="30"/>
      <c r="N245" s="37">
        <f t="shared" si="3"/>
        <v>6.2129685107516146E-2</v>
      </c>
    </row>
    <row r="246" spans="1:14" x14ac:dyDescent="0.25">
      <c r="A246" s="23" t="s">
        <v>288</v>
      </c>
      <c r="B246" s="24" t="s">
        <v>38</v>
      </c>
      <c r="C246" s="25">
        <v>45790</v>
      </c>
      <c r="D246" s="24" t="s">
        <v>44</v>
      </c>
      <c r="E246" s="24" t="s">
        <v>49</v>
      </c>
      <c r="F246" s="24">
        <v>602</v>
      </c>
      <c r="G246" s="24">
        <v>594</v>
      </c>
      <c r="H246" s="24">
        <v>156</v>
      </c>
      <c r="I246" s="24">
        <v>4214</v>
      </c>
      <c r="J246" s="24">
        <v>3363</v>
      </c>
      <c r="K246" s="24">
        <v>164</v>
      </c>
      <c r="L246" s="24" t="s">
        <v>27</v>
      </c>
      <c r="M246" s="26" t="s">
        <v>28</v>
      </c>
      <c r="N246" s="37">
        <f t="shared" si="3"/>
        <v>0.32083531086853345</v>
      </c>
    </row>
    <row r="247" spans="1:14" x14ac:dyDescent="0.25">
      <c r="A247" s="27" t="s">
        <v>289</v>
      </c>
      <c r="B247" s="28" t="s">
        <v>14</v>
      </c>
      <c r="C247" s="29">
        <v>45463</v>
      </c>
      <c r="D247" s="28" t="s">
        <v>39</v>
      </c>
      <c r="E247" s="28" t="s">
        <v>42</v>
      </c>
      <c r="F247" s="28">
        <v>4672</v>
      </c>
      <c r="G247" s="28">
        <v>325</v>
      </c>
      <c r="H247" s="28">
        <v>32</v>
      </c>
      <c r="I247" s="28">
        <v>88768</v>
      </c>
      <c r="J247" s="28">
        <v>87833</v>
      </c>
      <c r="K247" s="28">
        <v>118</v>
      </c>
      <c r="L247" s="28" t="s">
        <v>33</v>
      </c>
      <c r="M247" s="30"/>
      <c r="N247" s="37">
        <f t="shared" si="3"/>
        <v>5.6653298485940883E-2</v>
      </c>
    </row>
    <row r="248" spans="1:14" x14ac:dyDescent="0.25">
      <c r="A248" s="23" t="s">
        <v>290</v>
      </c>
      <c r="B248" s="24" t="s">
        <v>30</v>
      </c>
      <c r="C248" s="25">
        <v>45511</v>
      </c>
      <c r="D248" s="24" t="s">
        <v>39</v>
      </c>
      <c r="E248" s="24" t="s">
        <v>68</v>
      </c>
      <c r="F248" s="24">
        <v>1741</v>
      </c>
      <c r="G248" s="24">
        <v>164</v>
      </c>
      <c r="H248" s="24">
        <v>318</v>
      </c>
      <c r="I248" s="24">
        <v>8705</v>
      </c>
      <c r="J248" s="24">
        <v>8272</v>
      </c>
      <c r="K248" s="24">
        <v>121</v>
      </c>
      <c r="L248" s="24" t="s">
        <v>27</v>
      </c>
      <c r="M248" s="26"/>
      <c r="N248" s="37">
        <f t="shared" si="3"/>
        <v>0.25537047673750718</v>
      </c>
    </row>
    <row r="249" spans="1:14" x14ac:dyDescent="0.25">
      <c r="A249" s="27" t="s">
        <v>291</v>
      </c>
      <c r="B249" s="28" t="s">
        <v>30</v>
      </c>
      <c r="C249" s="29">
        <v>45455</v>
      </c>
      <c r="D249" s="28" t="s">
        <v>20</v>
      </c>
      <c r="E249" s="28" t="s">
        <v>82</v>
      </c>
      <c r="F249" s="28">
        <v>246</v>
      </c>
      <c r="G249" s="28">
        <v>149</v>
      </c>
      <c r="H249" s="28">
        <v>130</v>
      </c>
      <c r="I249" s="28">
        <v>4674</v>
      </c>
      <c r="J249" s="28">
        <v>4390</v>
      </c>
      <c r="K249" s="28">
        <v>217</v>
      </c>
      <c r="L249" s="28" t="s">
        <v>51</v>
      </c>
      <c r="M249" s="30" t="s">
        <v>28</v>
      </c>
      <c r="N249" s="37">
        <f t="shared" si="3"/>
        <v>0.11232349165596919</v>
      </c>
    </row>
    <row r="250" spans="1:14" x14ac:dyDescent="0.25">
      <c r="A250" s="23" t="s">
        <v>292</v>
      </c>
      <c r="B250" s="24" t="s">
        <v>30</v>
      </c>
      <c r="C250" s="25">
        <v>45474</v>
      </c>
      <c r="D250" s="24" t="s">
        <v>31</v>
      </c>
      <c r="E250" s="24" t="s">
        <v>32</v>
      </c>
      <c r="F250" s="24">
        <v>4808</v>
      </c>
      <c r="G250" s="24">
        <v>772</v>
      </c>
      <c r="H250" s="24">
        <v>320</v>
      </c>
      <c r="I250" s="24">
        <v>72120</v>
      </c>
      <c r="J250" s="24">
        <v>71696</v>
      </c>
      <c r="K250" s="24">
        <v>195</v>
      </c>
      <c r="L250" s="24" t="s">
        <v>33</v>
      </c>
      <c r="M250" s="26" t="s">
        <v>18</v>
      </c>
      <c r="N250" s="37">
        <f t="shared" si="3"/>
        <v>8.1808097615085965E-2</v>
      </c>
    </row>
    <row r="251" spans="1:14" x14ac:dyDescent="0.25">
      <c r="A251" s="27" t="s">
        <v>293</v>
      </c>
      <c r="B251" s="28" t="s">
        <v>30</v>
      </c>
      <c r="C251" s="29">
        <v>45476</v>
      </c>
      <c r="D251" s="28" t="s">
        <v>39</v>
      </c>
      <c r="E251" s="28" t="s">
        <v>68</v>
      </c>
      <c r="F251" s="28">
        <v>4799</v>
      </c>
      <c r="G251" s="28">
        <v>694</v>
      </c>
      <c r="H251" s="28">
        <v>289</v>
      </c>
      <c r="I251" s="28">
        <v>43191</v>
      </c>
      <c r="J251" s="28">
        <v>42228</v>
      </c>
      <c r="K251" s="28">
        <v>118</v>
      </c>
      <c r="L251" s="28" t="s">
        <v>27</v>
      </c>
      <c r="M251" s="30"/>
      <c r="N251" s="37">
        <f t="shared" si="3"/>
        <v>0.13387048227640017</v>
      </c>
    </row>
    <row r="252" spans="1:14" x14ac:dyDescent="0.25">
      <c r="A252" s="23" t="s">
        <v>294</v>
      </c>
      <c r="B252" s="24" t="s">
        <v>38</v>
      </c>
      <c r="C252" s="25">
        <v>45488</v>
      </c>
      <c r="D252" s="24" t="s">
        <v>15</v>
      </c>
      <c r="E252" s="24" t="s">
        <v>53</v>
      </c>
      <c r="F252" s="24">
        <v>3663</v>
      </c>
      <c r="G252" s="24">
        <v>17</v>
      </c>
      <c r="H252" s="24">
        <v>295</v>
      </c>
      <c r="I252" s="24">
        <v>51282</v>
      </c>
      <c r="J252" s="24">
        <v>50567</v>
      </c>
      <c r="K252" s="24">
        <v>84</v>
      </c>
      <c r="L252" s="24" t="s">
        <v>33</v>
      </c>
      <c r="M252" s="26" t="s">
        <v>28</v>
      </c>
      <c r="N252" s="37">
        <f t="shared" si="3"/>
        <v>7.7512577512577507E-2</v>
      </c>
    </row>
    <row r="253" spans="1:14" x14ac:dyDescent="0.25">
      <c r="A253" s="27" t="s">
        <v>295</v>
      </c>
      <c r="B253" s="28" t="s">
        <v>30</v>
      </c>
      <c r="C253" s="29">
        <v>45778</v>
      </c>
      <c r="D253" s="28" t="s">
        <v>20</v>
      </c>
      <c r="E253" s="28" t="s">
        <v>82</v>
      </c>
      <c r="F253" s="28">
        <v>1430</v>
      </c>
      <c r="G253" s="28">
        <v>376</v>
      </c>
      <c r="H253" s="28">
        <v>33</v>
      </c>
      <c r="I253" s="28">
        <v>21450</v>
      </c>
      <c r="J253" s="28">
        <v>20509</v>
      </c>
      <c r="K253" s="28">
        <v>251</v>
      </c>
      <c r="L253" s="28" t="s">
        <v>51</v>
      </c>
      <c r="M253" s="30" t="s">
        <v>18</v>
      </c>
      <c r="N253" s="37">
        <f t="shared" si="3"/>
        <v>8.5734265734265735E-2</v>
      </c>
    </row>
    <row r="254" spans="1:14" x14ac:dyDescent="0.25">
      <c r="A254" s="23" t="s">
        <v>296</v>
      </c>
      <c r="B254" s="24" t="s">
        <v>14</v>
      </c>
      <c r="C254" s="25">
        <v>45776</v>
      </c>
      <c r="D254" s="24" t="s">
        <v>31</v>
      </c>
      <c r="E254" s="24" t="s">
        <v>102</v>
      </c>
      <c r="F254" s="24">
        <v>249</v>
      </c>
      <c r="G254" s="24">
        <v>592</v>
      </c>
      <c r="H254" s="24">
        <v>230</v>
      </c>
      <c r="I254" s="24">
        <v>1494</v>
      </c>
      <c r="J254" s="24">
        <v>1044</v>
      </c>
      <c r="K254" s="24">
        <v>201</v>
      </c>
      <c r="L254" s="24" t="s">
        <v>33</v>
      </c>
      <c r="M254" s="26" t="s">
        <v>34</v>
      </c>
      <c r="N254" s="37">
        <f t="shared" si="3"/>
        <v>0.7168674698795181</v>
      </c>
    </row>
    <row r="255" spans="1:14" x14ac:dyDescent="0.25">
      <c r="A255" s="27" t="s">
        <v>297</v>
      </c>
      <c r="B255" s="28" t="s">
        <v>38</v>
      </c>
      <c r="C255" s="29">
        <v>45724</v>
      </c>
      <c r="D255" s="28" t="s">
        <v>44</v>
      </c>
      <c r="E255" s="28" t="s">
        <v>49</v>
      </c>
      <c r="F255" s="28">
        <v>2382</v>
      </c>
      <c r="G255" s="28">
        <v>265</v>
      </c>
      <c r="H255" s="28">
        <v>134</v>
      </c>
      <c r="I255" s="28">
        <v>38112</v>
      </c>
      <c r="J255" s="28">
        <v>37437</v>
      </c>
      <c r="K255" s="28">
        <v>249</v>
      </c>
      <c r="L255" s="28" t="s">
        <v>51</v>
      </c>
      <c r="M255" s="30" t="s">
        <v>34</v>
      </c>
      <c r="N255" s="37">
        <f t="shared" si="3"/>
        <v>7.2969143576826198E-2</v>
      </c>
    </row>
    <row r="256" spans="1:14" x14ac:dyDescent="0.25">
      <c r="A256" s="23" t="s">
        <v>298</v>
      </c>
      <c r="B256" s="24" t="s">
        <v>38</v>
      </c>
      <c r="C256" s="25">
        <v>45444</v>
      </c>
      <c r="D256" s="24" t="s">
        <v>20</v>
      </c>
      <c r="E256" s="24" t="s">
        <v>47</v>
      </c>
      <c r="F256" s="24">
        <v>1272</v>
      </c>
      <c r="G256" s="24">
        <v>465</v>
      </c>
      <c r="H256" s="24">
        <v>99</v>
      </c>
      <c r="I256" s="24">
        <v>24168</v>
      </c>
      <c r="J256" s="24">
        <v>23719</v>
      </c>
      <c r="K256" s="24">
        <v>42</v>
      </c>
      <c r="L256" s="24" t="s">
        <v>27</v>
      </c>
      <c r="M256" s="26"/>
      <c r="N256" s="37">
        <f t="shared" si="3"/>
        <v>7.5968222442899705E-2</v>
      </c>
    </row>
    <row r="257" spans="1:14" x14ac:dyDescent="0.25">
      <c r="A257" s="27" t="s">
        <v>299</v>
      </c>
      <c r="B257" s="28" t="s">
        <v>38</v>
      </c>
      <c r="C257" s="29">
        <v>45648</v>
      </c>
      <c r="D257" s="28" t="s">
        <v>44</v>
      </c>
      <c r="E257" s="28" t="s">
        <v>49</v>
      </c>
      <c r="F257" s="28">
        <v>3196</v>
      </c>
      <c r="G257" s="28">
        <v>941</v>
      </c>
      <c r="H257" s="28">
        <v>376</v>
      </c>
      <c r="I257" s="28">
        <v>35156</v>
      </c>
      <c r="J257" s="28">
        <v>34444</v>
      </c>
      <c r="K257" s="28">
        <v>241</v>
      </c>
      <c r="L257" s="28" t="s">
        <v>27</v>
      </c>
      <c r="M257" s="30" t="s">
        <v>28</v>
      </c>
      <c r="N257" s="37">
        <f t="shared" si="3"/>
        <v>0.1283706906360223</v>
      </c>
    </row>
    <row r="258" spans="1:14" x14ac:dyDescent="0.25">
      <c r="A258" s="23" t="s">
        <v>300</v>
      </c>
      <c r="B258" s="24" t="s">
        <v>38</v>
      </c>
      <c r="C258" s="25">
        <v>45523</v>
      </c>
      <c r="D258" s="24" t="s">
        <v>20</v>
      </c>
      <c r="E258" s="24" t="s">
        <v>47</v>
      </c>
      <c r="F258" s="24">
        <v>1257</v>
      </c>
      <c r="G258" s="24">
        <v>19</v>
      </c>
      <c r="H258" s="24">
        <v>351</v>
      </c>
      <c r="I258" s="24">
        <v>12570</v>
      </c>
      <c r="J258" s="24">
        <v>11660</v>
      </c>
      <c r="K258" s="24">
        <v>194</v>
      </c>
      <c r="L258" s="24" t="s">
        <v>51</v>
      </c>
      <c r="M258" s="26" t="s">
        <v>23</v>
      </c>
      <c r="N258" s="37">
        <f t="shared" si="3"/>
        <v>0.12943516308671441</v>
      </c>
    </row>
    <row r="259" spans="1:14" x14ac:dyDescent="0.25">
      <c r="A259" s="27" t="s">
        <v>300</v>
      </c>
      <c r="B259" s="28" t="s">
        <v>38</v>
      </c>
      <c r="C259" s="29">
        <v>45523</v>
      </c>
      <c r="D259" s="28" t="s">
        <v>20</v>
      </c>
      <c r="E259" s="28" t="s">
        <v>47</v>
      </c>
      <c r="F259" s="28">
        <v>1257</v>
      </c>
      <c r="G259" s="28">
        <v>19</v>
      </c>
      <c r="H259" s="28">
        <v>351</v>
      </c>
      <c r="I259" s="28">
        <v>12570</v>
      </c>
      <c r="J259" s="28">
        <v>11660</v>
      </c>
      <c r="K259" s="28">
        <v>194</v>
      </c>
      <c r="L259" s="28" t="s">
        <v>379</v>
      </c>
      <c r="M259" s="30" t="s">
        <v>23</v>
      </c>
      <c r="N259" s="37">
        <f t="shared" ref="N259:N322" si="4">(F259+G259+H259)/I259</f>
        <v>0.12943516308671441</v>
      </c>
    </row>
    <row r="260" spans="1:14" x14ac:dyDescent="0.25">
      <c r="A260" s="23" t="s">
        <v>300</v>
      </c>
      <c r="B260" s="24" t="s">
        <v>38</v>
      </c>
      <c r="C260" s="25">
        <v>45523</v>
      </c>
      <c r="D260" s="24" t="s">
        <v>20</v>
      </c>
      <c r="E260" s="24" t="s">
        <v>47</v>
      </c>
      <c r="F260" s="24">
        <v>1257</v>
      </c>
      <c r="G260" s="24">
        <v>19</v>
      </c>
      <c r="H260" s="24">
        <v>351</v>
      </c>
      <c r="I260" s="24">
        <v>12570</v>
      </c>
      <c r="J260" s="24">
        <v>11660</v>
      </c>
      <c r="K260" s="24">
        <v>194</v>
      </c>
      <c r="L260" s="24" t="s">
        <v>33</v>
      </c>
      <c r="M260" s="26" t="s">
        <v>23</v>
      </c>
      <c r="N260" s="37">
        <f t="shared" si="4"/>
        <v>0.12943516308671441</v>
      </c>
    </row>
    <row r="261" spans="1:14" x14ac:dyDescent="0.25">
      <c r="A261" s="27" t="s">
        <v>302</v>
      </c>
      <c r="B261" s="28" t="s">
        <v>30</v>
      </c>
      <c r="C261" s="29">
        <v>45587</v>
      </c>
      <c r="D261" s="28" t="s">
        <v>31</v>
      </c>
      <c r="E261" s="28" t="s">
        <v>32</v>
      </c>
      <c r="F261" s="28">
        <v>3770</v>
      </c>
      <c r="G261" s="28">
        <v>917</v>
      </c>
      <c r="H261" s="28">
        <v>129</v>
      </c>
      <c r="I261" s="28">
        <v>71630</v>
      </c>
      <c r="J261" s="28">
        <v>71322</v>
      </c>
      <c r="K261" s="28">
        <v>76</v>
      </c>
      <c r="L261" s="28" t="s">
        <v>51</v>
      </c>
      <c r="M261" s="30" t="s">
        <v>18</v>
      </c>
      <c r="N261" s="37">
        <f t="shared" si="4"/>
        <v>6.7234398994834563E-2</v>
      </c>
    </row>
    <row r="262" spans="1:14" x14ac:dyDescent="0.25">
      <c r="A262" s="23" t="s">
        <v>303</v>
      </c>
      <c r="B262" s="24" t="s">
        <v>14</v>
      </c>
      <c r="C262" s="25">
        <v>45489</v>
      </c>
      <c r="D262" s="24" t="s">
        <v>20</v>
      </c>
      <c r="E262" s="24" t="s">
        <v>21</v>
      </c>
      <c r="F262" s="24">
        <v>4725</v>
      </c>
      <c r="G262" s="24">
        <v>400</v>
      </c>
      <c r="H262" s="24">
        <v>362</v>
      </c>
      <c r="I262" s="24">
        <v>75600</v>
      </c>
      <c r="J262" s="24">
        <v>74927</v>
      </c>
      <c r="K262" s="24">
        <v>43</v>
      </c>
      <c r="L262" s="24" t="s">
        <v>51</v>
      </c>
      <c r="M262" s="26" t="s">
        <v>34</v>
      </c>
      <c r="N262" s="37">
        <f t="shared" si="4"/>
        <v>7.2579365079365077E-2</v>
      </c>
    </row>
    <row r="263" spans="1:14" x14ac:dyDescent="0.25">
      <c r="A263" s="27" t="s">
        <v>304</v>
      </c>
      <c r="B263" s="28" t="s">
        <v>25</v>
      </c>
      <c r="C263" s="29">
        <v>45712</v>
      </c>
      <c r="D263" s="28" t="s">
        <v>20</v>
      </c>
      <c r="E263" s="28" t="s">
        <v>77</v>
      </c>
      <c r="F263" s="28">
        <v>4188</v>
      </c>
      <c r="G263" s="28">
        <v>942</v>
      </c>
      <c r="H263" s="28">
        <v>118</v>
      </c>
      <c r="I263" s="28">
        <v>20940</v>
      </c>
      <c r="J263" s="28">
        <v>20471</v>
      </c>
      <c r="K263" s="28">
        <v>102</v>
      </c>
      <c r="L263" s="28" t="s">
        <v>51</v>
      </c>
      <c r="M263" s="30"/>
      <c r="N263" s="37">
        <f t="shared" si="4"/>
        <v>0.25062082139446035</v>
      </c>
    </row>
    <row r="264" spans="1:14" x14ac:dyDescent="0.25">
      <c r="A264" s="23" t="s">
        <v>305</v>
      </c>
      <c r="B264" s="24" t="s">
        <v>14</v>
      </c>
      <c r="C264" s="25">
        <v>45530</v>
      </c>
      <c r="D264" s="24" t="s">
        <v>39</v>
      </c>
      <c r="E264" s="24" t="s">
        <v>42</v>
      </c>
      <c r="F264" s="24">
        <v>929</v>
      </c>
      <c r="G264" s="24">
        <v>192</v>
      </c>
      <c r="H264" s="24">
        <v>322</v>
      </c>
      <c r="I264" s="24">
        <v>16722</v>
      </c>
      <c r="J264" s="24">
        <v>15996</v>
      </c>
      <c r="K264" s="24">
        <v>145</v>
      </c>
      <c r="L264" s="24" t="s">
        <v>33</v>
      </c>
      <c r="M264" s="26" t="s">
        <v>28</v>
      </c>
      <c r="N264" s="37">
        <f t="shared" si="4"/>
        <v>8.6293505561535699E-2</v>
      </c>
    </row>
    <row r="265" spans="1:14" x14ac:dyDescent="0.25">
      <c r="A265" s="27" t="s">
        <v>305</v>
      </c>
      <c r="B265" s="28" t="s">
        <v>14</v>
      </c>
      <c r="C265" s="29">
        <v>45530</v>
      </c>
      <c r="D265" s="28" t="s">
        <v>39</v>
      </c>
      <c r="E265" s="28" t="s">
        <v>42</v>
      </c>
      <c r="F265" s="28">
        <v>929</v>
      </c>
      <c r="G265" s="28">
        <v>192</v>
      </c>
      <c r="H265" s="28">
        <v>322</v>
      </c>
      <c r="I265" s="28">
        <v>16722</v>
      </c>
      <c r="J265" s="28">
        <v>15996</v>
      </c>
      <c r="K265" s="28">
        <v>145</v>
      </c>
      <c r="L265" s="28" t="s">
        <v>27</v>
      </c>
      <c r="M265" s="30" t="s">
        <v>28</v>
      </c>
      <c r="N265" s="37">
        <f t="shared" si="4"/>
        <v>8.6293505561535699E-2</v>
      </c>
    </row>
    <row r="266" spans="1:14" x14ac:dyDescent="0.25">
      <c r="A266" s="23" t="s">
        <v>305</v>
      </c>
      <c r="B266" s="24" t="s">
        <v>14</v>
      </c>
      <c r="C266" s="25">
        <v>45530</v>
      </c>
      <c r="D266" s="24" t="s">
        <v>39</v>
      </c>
      <c r="E266" s="24" t="s">
        <v>42</v>
      </c>
      <c r="F266" s="24">
        <v>929</v>
      </c>
      <c r="G266" s="24">
        <v>192</v>
      </c>
      <c r="H266" s="24">
        <v>322</v>
      </c>
      <c r="I266" s="24">
        <v>16722</v>
      </c>
      <c r="J266" s="24">
        <v>15996</v>
      </c>
      <c r="K266" s="24">
        <v>145</v>
      </c>
      <c r="L266" s="24" t="s">
        <v>379</v>
      </c>
      <c r="M266" s="26" t="s">
        <v>28</v>
      </c>
      <c r="N266" s="37">
        <f t="shared" si="4"/>
        <v>8.6293505561535699E-2</v>
      </c>
    </row>
    <row r="267" spans="1:14" x14ac:dyDescent="0.25">
      <c r="A267" s="27" t="s">
        <v>306</v>
      </c>
      <c r="B267" s="28" t="s">
        <v>38</v>
      </c>
      <c r="C267" s="29">
        <v>45675</v>
      </c>
      <c r="D267" s="28" t="s">
        <v>31</v>
      </c>
      <c r="E267" s="28" t="s">
        <v>57</v>
      </c>
      <c r="F267" s="28">
        <v>4321</v>
      </c>
      <c r="G267" s="28">
        <v>874</v>
      </c>
      <c r="H267" s="28">
        <v>172</v>
      </c>
      <c r="I267" s="28">
        <v>30247</v>
      </c>
      <c r="J267" s="28">
        <v>29254</v>
      </c>
      <c r="K267" s="28">
        <v>122</v>
      </c>
      <c r="L267" s="28" t="s">
        <v>27</v>
      </c>
      <c r="M267" s="30" t="s">
        <v>34</v>
      </c>
      <c r="N267" s="37">
        <f t="shared" si="4"/>
        <v>0.17743908486792079</v>
      </c>
    </row>
    <row r="268" spans="1:14" x14ac:dyDescent="0.25">
      <c r="A268" s="23" t="s">
        <v>307</v>
      </c>
      <c r="B268" s="24" t="s">
        <v>38</v>
      </c>
      <c r="C268" s="25">
        <v>45480</v>
      </c>
      <c r="D268" s="24" t="s">
        <v>15</v>
      </c>
      <c r="E268" s="24" t="s">
        <v>53</v>
      </c>
      <c r="F268" s="24">
        <v>4767</v>
      </c>
      <c r="G268" s="24">
        <v>190</v>
      </c>
      <c r="H268" s="24">
        <v>340</v>
      </c>
      <c r="I268" s="24">
        <v>28602</v>
      </c>
      <c r="J268" s="24">
        <v>28044</v>
      </c>
      <c r="K268" s="24">
        <v>210</v>
      </c>
      <c r="L268" s="24" t="s">
        <v>33</v>
      </c>
      <c r="M268" s="26" t="s">
        <v>28</v>
      </c>
      <c r="N268" s="37">
        <f t="shared" si="4"/>
        <v>0.18519683938186141</v>
      </c>
    </row>
    <row r="269" spans="1:14" x14ac:dyDescent="0.25">
      <c r="A269" s="27" t="s">
        <v>308</v>
      </c>
      <c r="B269" s="28" t="s">
        <v>14</v>
      </c>
      <c r="C269" s="29">
        <v>45722</v>
      </c>
      <c r="D269" s="28" t="s">
        <v>44</v>
      </c>
      <c r="E269" s="28" t="s">
        <v>92</v>
      </c>
      <c r="F269" s="28">
        <v>3592</v>
      </c>
      <c r="G269" s="28">
        <v>911</v>
      </c>
      <c r="H269" s="28">
        <v>375</v>
      </c>
      <c r="I269" s="28">
        <v>50288</v>
      </c>
      <c r="J269" s="28">
        <v>49490</v>
      </c>
      <c r="K269" s="28">
        <v>32</v>
      </c>
      <c r="L269" s="28" t="s">
        <v>51</v>
      </c>
      <c r="M269" s="30" t="s">
        <v>34</v>
      </c>
      <c r="N269" s="37">
        <f t="shared" si="4"/>
        <v>9.7001272669424113E-2</v>
      </c>
    </row>
    <row r="270" spans="1:14" x14ac:dyDescent="0.25">
      <c r="A270" s="23" t="s">
        <v>309</v>
      </c>
      <c r="B270" s="24" t="s">
        <v>25</v>
      </c>
      <c r="C270" s="25">
        <v>45590</v>
      </c>
      <c r="D270" s="24" t="s">
        <v>59</v>
      </c>
      <c r="E270" s="24" t="s">
        <v>143</v>
      </c>
      <c r="F270" s="24">
        <v>4661</v>
      </c>
      <c r="G270" s="24">
        <v>935</v>
      </c>
      <c r="H270" s="24">
        <v>433</v>
      </c>
      <c r="I270" s="24">
        <v>23305</v>
      </c>
      <c r="J270" s="24">
        <v>22583</v>
      </c>
      <c r="K270" s="24">
        <v>63</v>
      </c>
      <c r="L270" s="24" t="s">
        <v>51</v>
      </c>
      <c r="M270" s="26" t="s">
        <v>28</v>
      </c>
      <c r="N270" s="37">
        <f t="shared" si="4"/>
        <v>0.25869984981763572</v>
      </c>
    </row>
    <row r="271" spans="1:14" x14ac:dyDescent="0.25">
      <c r="A271" s="27" t="s">
        <v>310</v>
      </c>
      <c r="B271" s="28" t="s">
        <v>38</v>
      </c>
      <c r="C271" s="29">
        <v>45669</v>
      </c>
      <c r="D271" s="28" t="s">
        <v>15</v>
      </c>
      <c r="E271" s="28" t="s">
        <v>53</v>
      </c>
      <c r="F271" s="28">
        <v>4134</v>
      </c>
      <c r="G271" s="28">
        <v>824</v>
      </c>
      <c r="H271" s="28">
        <v>99</v>
      </c>
      <c r="I271" s="28">
        <v>41340</v>
      </c>
      <c r="J271" s="28">
        <v>41050</v>
      </c>
      <c r="K271" s="28">
        <v>177</v>
      </c>
      <c r="L271" s="28" t="s">
        <v>33</v>
      </c>
      <c r="M271" s="30" t="s">
        <v>18</v>
      </c>
      <c r="N271" s="37">
        <f t="shared" si="4"/>
        <v>0.12232704402515723</v>
      </c>
    </row>
    <row r="272" spans="1:14" x14ac:dyDescent="0.25">
      <c r="A272" s="23" t="s">
        <v>311</v>
      </c>
      <c r="B272" s="24" t="s">
        <v>38</v>
      </c>
      <c r="C272" s="25">
        <v>45576</v>
      </c>
      <c r="D272" s="24" t="s">
        <v>44</v>
      </c>
      <c r="E272" s="24" t="s">
        <v>49</v>
      </c>
      <c r="F272" s="24">
        <v>400</v>
      </c>
      <c r="G272" s="24">
        <v>680</v>
      </c>
      <c r="H272" s="24">
        <v>434</v>
      </c>
      <c r="I272" s="24">
        <v>6400</v>
      </c>
      <c r="J272" s="24">
        <v>5472</v>
      </c>
      <c r="K272" s="24">
        <v>160</v>
      </c>
      <c r="L272" s="24" t="s">
        <v>51</v>
      </c>
      <c r="M272" s="26" t="s">
        <v>23</v>
      </c>
      <c r="N272" s="37">
        <f t="shared" si="4"/>
        <v>0.23656250000000001</v>
      </c>
    </row>
    <row r="273" spans="1:14" x14ac:dyDescent="0.25">
      <c r="A273" s="27" t="s">
        <v>312</v>
      </c>
      <c r="B273" s="28" t="s">
        <v>38</v>
      </c>
      <c r="C273" s="29">
        <v>45531</v>
      </c>
      <c r="D273" s="28" t="s">
        <v>15</v>
      </c>
      <c r="E273" s="28" t="s">
        <v>53</v>
      </c>
      <c r="F273" s="28">
        <v>3960</v>
      </c>
      <c r="G273" s="28">
        <v>266</v>
      </c>
      <c r="H273" s="28">
        <v>8</v>
      </c>
      <c r="I273" s="28">
        <v>35640</v>
      </c>
      <c r="J273" s="28">
        <v>34850</v>
      </c>
      <c r="K273" s="28">
        <v>208</v>
      </c>
      <c r="L273" s="28" t="s">
        <v>51</v>
      </c>
      <c r="M273" s="30"/>
      <c r="N273" s="37">
        <f t="shared" si="4"/>
        <v>0.11879910213243547</v>
      </c>
    </row>
    <row r="274" spans="1:14" x14ac:dyDescent="0.25">
      <c r="A274" s="23" t="s">
        <v>312</v>
      </c>
      <c r="B274" s="24" t="s">
        <v>38</v>
      </c>
      <c r="C274" s="25">
        <v>45531</v>
      </c>
      <c r="D274" s="24" t="s">
        <v>15</v>
      </c>
      <c r="E274" s="24" t="s">
        <v>53</v>
      </c>
      <c r="F274" s="24">
        <v>3960</v>
      </c>
      <c r="G274" s="24">
        <v>266</v>
      </c>
      <c r="H274" s="24">
        <v>8</v>
      </c>
      <c r="I274" s="24">
        <v>35640</v>
      </c>
      <c r="J274" s="24">
        <v>34850</v>
      </c>
      <c r="K274" s="24">
        <v>208</v>
      </c>
      <c r="L274" s="24" t="s">
        <v>33</v>
      </c>
      <c r="M274" s="26"/>
      <c r="N274" s="37">
        <f t="shared" si="4"/>
        <v>0.11879910213243547</v>
      </c>
    </row>
    <row r="275" spans="1:14" x14ac:dyDescent="0.25">
      <c r="A275" s="27" t="s">
        <v>312</v>
      </c>
      <c r="B275" s="28" t="s">
        <v>38</v>
      </c>
      <c r="C275" s="29">
        <v>45531</v>
      </c>
      <c r="D275" s="28" t="s">
        <v>15</v>
      </c>
      <c r="E275" s="28" t="s">
        <v>53</v>
      </c>
      <c r="F275" s="28">
        <v>3960</v>
      </c>
      <c r="G275" s="28">
        <v>266</v>
      </c>
      <c r="H275" s="28">
        <v>8</v>
      </c>
      <c r="I275" s="28">
        <v>35640</v>
      </c>
      <c r="J275" s="28">
        <v>34850</v>
      </c>
      <c r="K275" s="28">
        <v>208</v>
      </c>
      <c r="L275" s="28" t="s">
        <v>380</v>
      </c>
      <c r="M275" s="30"/>
      <c r="N275" s="37">
        <f t="shared" si="4"/>
        <v>0.11879910213243547</v>
      </c>
    </row>
    <row r="276" spans="1:14" x14ac:dyDescent="0.25">
      <c r="A276" s="23" t="s">
        <v>314</v>
      </c>
      <c r="B276" s="24" t="s">
        <v>38</v>
      </c>
      <c r="C276" s="25">
        <v>45690</v>
      </c>
      <c r="D276" s="24" t="s">
        <v>31</v>
      </c>
      <c r="E276" s="24" t="s">
        <v>57</v>
      </c>
      <c r="F276" s="24">
        <v>886</v>
      </c>
      <c r="G276" s="24">
        <v>126</v>
      </c>
      <c r="H276" s="24">
        <v>153</v>
      </c>
      <c r="I276" s="24">
        <v>4430</v>
      </c>
      <c r="J276" s="24">
        <v>4037</v>
      </c>
      <c r="K276" s="24">
        <v>212</v>
      </c>
      <c r="L276" s="24" t="s">
        <v>33</v>
      </c>
      <c r="M276" s="26"/>
      <c r="N276" s="37">
        <f t="shared" si="4"/>
        <v>0.26297968397291194</v>
      </c>
    </row>
    <row r="277" spans="1:14" x14ac:dyDescent="0.25">
      <c r="A277" s="27" t="s">
        <v>315</v>
      </c>
      <c r="B277" s="28" t="s">
        <v>14</v>
      </c>
      <c r="C277" s="29">
        <v>45491</v>
      </c>
      <c r="D277" s="28" t="s">
        <v>44</v>
      </c>
      <c r="E277" s="28" t="s">
        <v>92</v>
      </c>
      <c r="F277" s="28">
        <v>827</v>
      </c>
      <c r="G277" s="28">
        <v>77</v>
      </c>
      <c r="H277" s="28">
        <v>402</v>
      </c>
      <c r="I277" s="28">
        <v>14886</v>
      </c>
      <c r="J277" s="28">
        <v>14129</v>
      </c>
      <c r="K277" s="28">
        <v>254</v>
      </c>
      <c r="L277" s="28" t="s">
        <v>33</v>
      </c>
      <c r="M277" s="30" t="s">
        <v>23</v>
      </c>
      <c r="N277" s="37">
        <f t="shared" si="4"/>
        <v>8.7733440816874911E-2</v>
      </c>
    </row>
    <row r="278" spans="1:14" x14ac:dyDescent="0.25">
      <c r="A278" s="23" t="s">
        <v>316</v>
      </c>
      <c r="B278" s="24" t="s">
        <v>38</v>
      </c>
      <c r="C278" s="25">
        <v>45465</v>
      </c>
      <c r="D278" s="24" t="s">
        <v>15</v>
      </c>
      <c r="E278" s="24" t="s">
        <v>53</v>
      </c>
      <c r="F278" s="24">
        <v>3813</v>
      </c>
      <c r="G278" s="24">
        <v>935</v>
      </c>
      <c r="H278" s="24">
        <v>274</v>
      </c>
      <c r="I278" s="24">
        <v>68634</v>
      </c>
      <c r="J278" s="24">
        <v>68488</v>
      </c>
      <c r="K278" s="24">
        <v>251</v>
      </c>
      <c r="L278" s="24" t="s">
        <v>51</v>
      </c>
      <c r="M278" s="26"/>
      <c r="N278" s="37">
        <f t="shared" si="4"/>
        <v>7.3170731707317069E-2</v>
      </c>
    </row>
    <row r="279" spans="1:14" x14ac:dyDescent="0.25">
      <c r="A279" s="27" t="s">
        <v>317</v>
      </c>
      <c r="B279" s="28" t="s">
        <v>30</v>
      </c>
      <c r="C279" s="29">
        <v>45743</v>
      </c>
      <c r="D279" s="28" t="s">
        <v>39</v>
      </c>
      <c r="E279" s="28" t="s">
        <v>68</v>
      </c>
      <c r="F279" s="28">
        <v>1377</v>
      </c>
      <c r="G279" s="28">
        <v>796</v>
      </c>
      <c r="H279" s="28">
        <v>387</v>
      </c>
      <c r="I279" s="28">
        <v>22032</v>
      </c>
      <c r="J279" s="28">
        <v>21869</v>
      </c>
      <c r="K279" s="28">
        <v>189</v>
      </c>
      <c r="L279" s="28" t="s">
        <v>51</v>
      </c>
      <c r="M279" s="30"/>
      <c r="N279" s="37">
        <f t="shared" si="4"/>
        <v>0.11619462599854757</v>
      </c>
    </row>
    <row r="280" spans="1:14" x14ac:dyDescent="0.25">
      <c r="A280" s="23" t="s">
        <v>318</v>
      </c>
      <c r="B280" s="24" t="s">
        <v>38</v>
      </c>
      <c r="C280" s="25">
        <v>45775</v>
      </c>
      <c r="D280" s="24" t="s">
        <v>39</v>
      </c>
      <c r="E280" s="24" t="s">
        <v>40</v>
      </c>
      <c r="F280" s="24">
        <v>2089</v>
      </c>
      <c r="G280" s="24">
        <v>476</v>
      </c>
      <c r="H280" s="24">
        <v>69</v>
      </c>
      <c r="I280" s="24">
        <v>16712</v>
      </c>
      <c r="J280" s="24">
        <v>16309</v>
      </c>
      <c r="K280" s="24">
        <v>64</v>
      </c>
      <c r="L280" s="24" t="s">
        <v>51</v>
      </c>
      <c r="M280" s="26" t="s">
        <v>28</v>
      </c>
      <c r="N280" s="37">
        <f t="shared" si="4"/>
        <v>0.15761129727142173</v>
      </c>
    </row>
    <row r="281" spans="1:14" x14ac:dyDescent="0.25">
      <c r="A281" s="27" t="s">
        <v>319</v>
      </c>
      <c r="B281" s="28" t="s">
        <v>14</v>
      </c>
      <c r="C281" s="29">
        <v>45507</v>
      </c>
      <c r="D281" s="28" t="s">
        <v>15</v>
      </c>
      <c r="E281" s="28" t="s">
        <v>16</v>
      </c>
      <c r="F281" s="28">
        <v>3791</v>
      </c>
      <c r="G281" s="28">
        <v>593</v>
      </c>
      <c r="H281" s="28">
        <v>228</v>
      </c>
      <c r="I281" s="28">
        <v>53074</v>
      </c>
      <c r="J281" s="28">
        <v>52613</v>
      </c>
      <c r="K281" s="28">
        <v>205</v>
      </c>
      <c r="L281" s="28" t="s">
        <v>33</v>
      </c>
      <c r="M281" s="30"/>
      <c r="N281" s="37">
        <f t="shared" si="4"/>
        <v>8.6897539284772202E-2</v>
      </c>
    </row>
    <row r="282" spans="1:14" x14ac:dyDescent="0.25">
      <c r="A282" s="23" t="s">
        <v>320</v>
      </c>
      <c r="B282" s="24" t="s">
        <v>14</v>
      </c>
      <c r="C282" s="25">
        <v>45671</v>
      </c>
      <c r="D282" s="24" t="s">
        <v>44</v>
      </c>
      <c r="E282" s="24" t="s">
        <v>92</v>
      </c>
      <c r="F282" s="24">
        <v>2692</v>
      </c>
      <c r="G282" s="24">
        <v>115</v>
      </c>
      <c r="H282" s="24">
        <v>64</v>
      </c>
      <c r="I282" s="24">
        <v>21536</v>
      </c>
      <c r="J282" s="24">
        <v>21120</v>
      </c>
      <c r="K282" s="24">
        <v>224</v>
      </c>
      <c r="L282" s="24" t="s">
        <v>51</v>
      </c>
      <c r="M282" s="26" t="s">
        <v>23</v>
      </c>
      <c r="N282" s="37">
        <f t="shared" si="4"/>
        <v>0.13331166419019316</v>
      </c>
    </row>
    <row r="283" spans="1:14" x14ac:dyDescent="0.25">
      <c r="A283" s="27" t="s">
        <v>321</v>
      </c>
      <c r="B283" s="28" t="s">
        <v>38</v>
      </c>
      <c r="C283" s="29">
        <v>45750</v>
      </c>
      <c r="D283" s="28" t="s">
        <v>31</v>
      </c>
      <c r="E283" s="28" t="s">
        <v>57</v>
      </c>
      <c r="F283" s="28">
        <v>3767</v>
      </c>
      <c r="G283" s="28">
        <v>514</v>
      </c>
      <c r="H283" s="28">
        <v>238</v>
      </c>
      <c r="I283" s="28">
        <v>37670</v>
      </c>
      <c r="J283" s="28">
        <v>36807</v>
      </c>
      <c r="K283" s="28">
        <v>226</v>
      </c>
      <c r="L283" s="28" t="s">
        <v>51</v>
      </c>
      <c r="M283" s="30" t="s">
        <v>34</v>
      </c>
      <c r="N283" s="37">
        <f t="shared" si="4"/>
        <v>0.11996283514733209</v>
      </c>
    </row>
    <row r="284" spans="1:14" x14ac:dyDescent="0.25">
      <c r="A284" s="23" t="s">
        <v>322</v>
      </c>
      <c r="B284" s="24" t="s">
        <v>25</v>
      </c>
      <c r="C284" s="25">
        <v>45553</v>
      </c>
      <c r="D284" s="24" t="s">
        <v>39</v>
      </c>
      <c r="E284" s="24" t="s">
        <v>55</v>
      </c>
      <c r="F284" s="24">
        <v>2143</v>
      </c>
      <c r="G284" s="24">
        <v>12</v>
      </c>
      <c r="H284" s="24">
        <v>204</v>
      </c>
      <c r="I284" s="24">
        <v>40717</v>
      </c>
      <c r="J284" s="24">
        <v>40125</v>
      </c>
      <c r="K284" s="24">
        <v>248</v>
      </c>
      <c r="L284" s="24" t="s">
        <v>33</v>
      </c>
      <c r="M284" s="26" t="s">
        <v>23</v>
      </c>
      <c r="N284" s="37">
        <f t="shared" si="4"/>
        <v>5.7936488444630008E-2</v>
      </c>
    </row>
    <row r="285" spans="1:14" x14ac:dyDescent="0.25">
      <c r="A285" s="27" t="s">
        <v>323</v>
      </c>
      <c r="B285" s="28" t="s">
        <v>38</v>
      </c>
      <c r="C285" s="29">
        <v>45753</v>
      </c>
      <c r="D285" s="28" t="s">
        <v>44</v>
      </c>
      <c r="E285" s="28" t="s">
        <v>49</v>
      </c>
      <c r="F285" s="28">
        <v>3090</v>
      </c>
      <c r="G285" s="28">
        <v>697</v>
      </c>
      <c r="H285" s="28">
        <v>164</v>
      </c>
      <c r="I285" s="28">
        <v>49440</v>
      </c>
      <c r="J285" s="28">
        <v>48524</v>
      </c>
      <c r="K285" s="28">
        <v>25</v>
      </c>
      <c r="L285" s="28" t="s">
        <v>33</v>
      </c>
      <c r="M285" s="30" t="s">
        <v>23</v>
      </c>
      <c r="N285" s="37">
        <f t="shared" si="4"/>
        <v>7.9915048543689318E-2</v>
      </c>
    </row>
    <row r="286" spans="1:14" x14ac:dyDescent="0.25">
      <c r="A286" s="23" t="s">
        <v>323</v>
      </c>
      <c r="B286" s="24" t="s">
        <v>38</v>
      </c>
      <c r="C286" s="25">
        <v>45753</v>
      </c>
      <c r="D286" s="24" t="s">
        <v>44</v>
      </c>
      <c r="E286" s="24" t="s">
        <v>49</v>
      </c>
      <c r="F286" s="24">
        <v>3090</v>
      </c>
      <c r="G286" s="24">
        <v>697</v>
      </c>
      <c r="H286" s="24">
        <v>164</v>
      </c>
      <c r="I286" s="24">
        <v>49440</v>
      </c>
      <c r="J286" s="24">
        <v>48524</v>
      </c>
      <c r="K286" s="24">
        <v>25</v>
      </c>
      <c r="L286" s="24" t="s">
        <v>33</v>
      </c>
      <c r="M286" s="26" t="s">
        <v>23</v>
      </c>
      <c r="N286" s="37">
        <f t="shared" si="4"/>
        <v>7.9915048543689318E-2</v>
      </c>
    </row>
    <row r="287" spans="1:14" x14ac:dyDescent="0.25">
      <c r="A287" s="27" t="s">
        <v>323</v>
      </c>
      <c r="B287" s="28" t="s">
        <v>38</v>
      </c>
      <c r="C287" s="29">
        <v>45753</v>
      </c>
      <c r="D287" s="28" t="s">
        <v>44</v>
      </c>
      <c r="E287" s="28" t="s">
        <v>49</v>
      </c>
      <c r="F287" s="28">
        <v>3090</v>
      </c>
      <c r="G287" s="28">
        <v>697</v>
      </c>
      <c r="H287" s="28">
        <v>164</v>
      </c>
      <c r="I287" s="28">
        <v>49440</v>
      </c>
      <c r="J287" s="28">
        <v>48524</v>
      </c>
      <c r="K287" s="28">
        <v>25</v>
      </c>
      <c r="L287" s="28" t="s">
        <v>380</v>
      </c>
      <c r="M287" s="30" t="s">
        <v>23</v>
      </c>
      <c r="N287" s="37">
        <f t="shared" si="4"/>
        <v>7.9915048543689318E-2</v>
      </c>
    </row>
    <row r="288" spans="1:14" x14ac:dyDescent="0.25">
      <c r="A288" s="23" t="s">
        <v>325</v>
      </c>
      <c r="B288" s="24" t="s">
        <v>30</v>
      </c>
      <c r="C288" s="25">
        <v>45509</v>
      </c>
      <c r="D288" s="24" t="s">
        <v>31</v>
      </c>
      <c r="E288" s="24" t="s">
        <v>32</v>
      </c>
      <c r="F288" s="24">
        <v>3601</v>
      </c>
      <c r="G288" s="24">
        <v>695</v>
      </c>
      <c r="H288" s="24">
        <v>75</v>
      </c>
      <c r="I288" s="24">
        <v>21606</v>
      </c>
      <c r="J288" s="24">
        <v>21454</v>
      </c>
      <c r="K288" s="24">
        <v>172</v>
      </c>
      <c r="L288" s="24" t="s">
        <v>33</v>
      </c>
      <c r="M288" s="26" t="s">
        <v>23</v>
      </c>
      <c r="N288" s="37">
        <f t="shared" si="4"/>
        <v>0.2023049153013052</v>
      </c>
    </row>
    <row r="289" spans="1:14" x14ac:dyDescent="0.25">
      <c r="A289" s="27" t="s">
        <v>326</v>
      </c>
      <c r="B289" s="28" t="s">
        <v>38</v>
      </c>
      <c r="C289" s="29">
        <v>45698</v>
      </c>
      <c r="D289" s="28" t="s">
        <v>20</v>
      </c>
      <c r="E289" s="28" t="s">
        <v>47</v>
      </c>
      <c r="F289" s="28">
        <v>562</v>
      </c>
      <c r="G289" s="28">
        <v>158</v>
      </c>
      <c r="H289" s="28">
        <v>149</v>
      </c>
      <c r="I289" s="28">
        <v>3372</v>
      </c>
      <c r="J289" s="28">
        <v>2940</v>
      </c>
      <c r="K289" s="28">
        <v>93</v>
      </c>
      <c r="L289" s="28" t="s">
        <v>27</v>
      </c>
      <c r="M289" s="30" t="s">
        <v>18</v>
      </c>
      <c r="N289" s="37">
        <f t="shared" si="4"/>
        <v>0.25771055753262156</v>
      </c>
    </row>
    <row r="290" spans="1:14" x14ac:dyDescent="0.25">
      <c r="A290" s="23" t="s">
        <v>327</v>
      </c>
      <c r="B290" s="24" t="s">
        <v>30</v>
      </c>
      <c r="C290" s="25">
        <v>45700</v>
      </c>
      <c r="D290" s="24" t="s">
        <v>31</v>
      </c>
      <c r="E290" s="24" t="s">
        <v>32</v>
      </c>
      <c r="F290" s="24">
        <v>4332</v>
      </c>
      <c r="G290" s="24">
        <v>771</v>
      </c>
      <c r="H290" s="24">
        <v>219</v>
      </c>
      <c r="I290" s="24">
        <v>60648</v>
      </c>
      <c r="J290" s="24">
        <v>60397</v>
      </c>
      <c r="K290" s="24">
        <v>10</v>
      </c>
      <c r="L290" s="24" t="s">
        <v>27</v>
      </c>
      <c r="M290" s="26" t="s">
        <v>28</v>
      </c>
      <c r="N290" s="37">
        <f t="shared" si="4"/>
        <v>8.7752275425405618E-2</v>
      </c>
    </row>
    <row r="291" spans="1:14" x14ac:dyDescent="0.25">
      <c r="A291" s="27" t="s">
        <v>327</v>
      </c>
      <c r="B291" s="28" t="s">
        <v>30</v>
      </c>
      <c r="C291" s="29">
        <v>45700</v>
      </c>
      <c r="D291" s="28" t="s">
        <v>31</v>
      </c>
      <c r="E291" s="28" t="s">
        <v>32</v>
      </c>
      <c r="F291" s="28">
        <v>4332</v>
      </c>
      <c r="G291" s="28">
        <v>771</v>
      </c>
      <c r="H291" s="28">
        <v>219</v>
      </c>
      <c r="I291" s="28">
        <v>60648</v>
      </c>
      <c r="J291" s="28">
        <v>60397</v>
      </c>
      <c r="K291" s="28">
        <v>10</v>
      </c>
      <c r="L291" s="28" t="s">
        <v>33</v>
      </c>
      <c r="M291" s="30" t="s">
        <v>28</v>
      </c>
      <c r="N291" s="37">
        <f t="shared" si="4"/>
        <v>8.7752275425405618E-2</v>
      </c>
    </row>
    <row r="292" spans="1:14" x14ac:dyDescent="0.25">
      <c r="A292" s="23" t="s">
        <v>327</v>
      </c>
      <c r="B292" s="24" t="s">
        <v>30</v>
      </c>
      <c r="C292" s="25">
        <v>45700</v>
      </c>
      <c r="D292" s="24" t="s">
        <v>31</v>
      </c>
      <c r="E292" s="24" t="s">
        <v>32</v>
      </c>
      <c r="F292" s="24">
        <v>4332</v>
      </c>
      <c r="G292" s="24">
        <v>771</v>
      </c>
      <c r="H292" s="24">
        <v>219</v>
      </c>
      <c r="I292" s="24">
        <v>60648</v>
      </c>
      <c r="J292" s="24">
        <v>60397</v>
      </c>
      <c r="K292" s="24">
        <v>10</v>
      </c>
      <c r="L292" s="24" t="s">
        <v>380</v>
      </c>
      <c r="M292" s="26" t="s">
        <v>28</v>
      </c>
      <c r="N292" s="37">
        <f t="shared" si="4"/>
        <v>8.7752275425405618E-2</v>
      </c>
    </row>
    <row r="293" spans="1:14" x14ac:dyDescent="0.25">
      <c r="A293" s="27" t="s">
        <v>329</v>
      </c>
      <c r="B293" s="28" t="s">
        <v>30</v>
      </c>
      <c r="C293" s="29">
        <v>45592</v>
      </c>
      <c r="D293" s="28" t="s">
        <v>44</v>
      </c>
      <c r="E293" s="28" t="s">
        <v>140</v>
      </c>
      <c r="F293" s="28">
        <v>4853</v>
      </c>
      <c r="G293" s="28">
        <v>837</v>
      </c>
      <c r="H293" s="28">
        <v>340</v>
      </c>
      <c r="I293" s="28">
        <v>72795</v>
      </c>
      <c r="J293" s="28">
        <v>72237</v>
      </c>
      <c r="K293" s="28">
        <v>170</v>
      </c>
      <c r="L293" s="28" t="s">
        <v>33</v>
      </c>
      <c r="M293" s="30" t="s">
        <v>18</v>
      </c>
      <c r="N293" s="37">
        <f t="shared" si="4"/>
        <v>8.2835359571399134E-2</v>
      </c>
    </row>
    <row r="294" spans="1:14" x14ac:dyDescent="0.25">
      <c r="A294" s="23" t="s">
        <v>330</v>
      </c>
      <c r="B294" s="24" t="s">
        <v>25</v>
      </c>
      <c r="C294" s="25">
        <v>45675</v>
      </c>
      <c r="D294" s="24" t="s">
        <v>44</v>
      </c>
      <c r="E294" s="24" t="s">
        <v>45</v>
      </c>
      <c r="F294" s="24">
        <v>1206</v>
      </c>
      <c r="G294" s="24">
        <v>238</v>
      </c>
      <c r="H294" s="24">
        <v>36</v>
      </c>
      <c r="I294" s="24">
        <v>9648</v>
      </c>
      <c r="J294" s="24">
        <v>9417</v>
      </c>
      <c r="K294" s="24">
        <v>237</v>
      </c>
      <c r="L294" s="24" t="s">
        <v>27</v>
      </c>
      <c r="M294" s="26"/>
      <c r="N294" s="37">
        <f t="shared" si="4"/>
        <v>0.15339966832504145</v>
      </c>
    </row>
    <row r="295" spans="1:14" x14ac:dyDescent="0.25">
      <c r="A295" s="27" t="s">
        <v>331</v>
      </c>
      <c r="B295" s="28" t="s">
        <v>30</v>
      </c>
      <c r="C295" s="29">
        <v>45524</v>
      </c>
      <c r="D295" s="28" t="s">
        <v>15</v>
      </c>
      <c r="E295" s="28" t="s">
        <v>64</v>
      </c>
      <c r="F295" s="28">
        <v>2603</v>
      </c>
      <c r="G295" s="28">
        <v>690</v>
      </c>
      <c r="H295" s="28">
        <v>205</v>
      </c>
      <c r="I295" s="28">
        <v>13015</v>
      </c>
      <c r="J295" s="28">
        <v>12130</v>
      </c>
      <c r="K295" s="28">
        <v>20</v>
      </c>
      <c r="L295" s="28" t="s">
        <v>51</v>
      </c>
      <c r="M295" s="30" t="s">
        <v>23</v>
      </c>
      <c r="N295" s="37">
        <f t="shared" si="4"/>
        <v>0.26876680752977333</v>
      </c>
    </row>
    <row r="296" spans="1:14" x14ac:dyDescent="0.25">
      <c r="A296" s="23" t="s">
        <v>332</v>
      </c>
      <c r="B296" s="24" t="s">
        <v>14</v>
      </c>
      <c r="C296" s="25">
        <v>45687</v>
      </c>
      <c r="D296" s="24" t="s">
        <v>44</v>
      </c>
      <c r="E296" s="24" t="s">
        <v>92</v>
      </c>
      <c r="F296" s="24">
        <v>59</v>
      </c>
      <c r="G296" s="24">
        <v>163</v>
      </c>
      <c r="H296" s="24">
        <v>93</v>
      </c>
      <c r="I296" s="24">
        <v>590</v>
      </c>
      <c r="J296" s="24">
        <v>475</v>
      </c>
      <c r="K296" s="24">
        <v>293</v>
      </c>
      <c r="L296" s="24" t="s">
        <v>27</v>
      </c>
      <c r="M296" s="26" t="s">
        <v>23</v>
      </c>
      <c r="N296" s="37">
        <f t="shared" si="4"/>
        <v>0.53389830508474578</v>
      </c>
    </row>
    <row r="297" spans="1:14" x14ac:dyDescent="0.25">
      <c r="A297" s="27" t="s">
        <v>333</v>
      </c>
      <c r="B297" s="28" t="s">
        <v>14</v>
      </c>
      <c r="C297" s="29">
        <v>45708</v>
      </c>
      <c r="D297" s="28" t="s">
        <v>39</v>
      </c>
      <c r="E297" s="28" t="s">
        <v>42</v>
      </c>
      <c r="F297" s="28">
        <v>1877</v>
      </c>
      <c r="G297" s="28">
        <v>745</v>
      </c>
      <c r="H297" s="28">
        <v>225</v>
      </c>
      <c r="I297" s="28">
        <v>11262</v>
      </c>
      <c r="J297" s="28">
        <v>10967</v>
      </c>
      <c r="K297" s="28">
        <v>41</v>
      </c>
      <c r="L297" s="28" t="s">
        <v>33</v>
      </c>
      <c r="M297" s="30" t="s">
        <v>34</v>
      </c>
      <c r="N297" s="37">
        <f t="shared" si="4"/>
        <v>0.25279701651571657</v>
      </c>
    </row>
    <row r="298" spans="1:14" x14ac:dyDescent="0.25">
      <c r="A298" s="23" t="s">
        <v>334</v>
      </c>
      <c r="B298" s="24" t="s">
        <v>38</v>
      </c>
      <c r="C298" s="25">
        <v>45621</v>
      </c>
      <c r="D298" s="24" t="s">
        <v>31</v>
      </c>
      <c r="E298" s="24" t="s">
        <v>57</v>
      </c>
      <c r="F298" s="24">
        <v>4182</v>
      </c>
      <c r="G298" s="24">
        <v>640</v>
      </c>
      <c r="H298" s="24">
        <v>240</v>
      </c>
      <c r="I298" s="24">
        <v>50184</v>
      </c>
      <c r="J298" s="24">
        <v>49351</v>
      </c>
      <c r="K298" s="24">
        <v>10</v>
      </c>
      <c r="L298" s="24" t="s">
        <v>27</v>
      </c>
      <c r="M298" s="26" t="s">
        <v>28</v>
      </c>
      <c r="N298" s="37">
        <f t="shared" si="4"/>
        <v>0.10086880280567512</v>
      </c>
    </row>
    <row r="299" spans="1:14" x14ac:dyDescent="0.25">
      <c r="A299" s="27" t="s">
        <v>335</v>
      </c>
      <c r="B299" s="28" t="s">
        <v>14</v>
      </c>
      <c r="C299" s="29">
        <v>45569</v>
      </c>
      <c r="D299" s="28" t="s">
        <v>15</v>
      </c>
      <c r="E299" s="28" t="s">
        <v>16</v>
      </c>
      <c r="F299" s="28">
        <v>4187</v>
      </c>
      <c r="G299" s="28">
        <v>66</v>
      </c>
      <c r="H299" s="28">
        <v>31</v>
      </c>
      <c r="I299" s="28">
        <v>66992</v>
      </c>
      <c r="J299" s="28">
        <v>66614</v>
      </c>
      <c r="K299" s="28">
        <v>62</v>
      </c>
      <c r="L299" s="28" t="s">
        <v>51</v>
      </c>
      <c r="M299" s="30"/>
      <c r="N299" s="37">
        <f t="shared" si="4"/>
        <v>6.3947934081681396E-2</v>
      </c>
    </row>
    <row r="300" spans="1:14" x14ac:dyDescent="0.25">
      <c r="A300" s="23" t="s">
        <v>336</v>
      </c>
      <c r="B300" s="24" t="s">
        <v>30</v>
      </c>
      <c r="C300" s="25">
        <v>45760</v>
      </c>
      <c r="D300" s="24" t="s">
        <v>15</v>
      </c>
      <c r="E300" s="24" t="s">
        <v>64</v>
      </c>
      <c r="F300" s="24">
        <v>4579</v>
      </c>
      <c r="G300" s="24">
        <v>125</v>
      </c>
      <c r="H300" s="24">
        <v>300</v>
      </c>
      <c r="I300" s="24">
        <v>59527</v>
      </c>
      <c r="J300" s="24">
        <v>59400</v>
      </c>
      <c r="K300" s="24">
        <v>269</v>
      </c>
      <c r="L300" s="24" t="s">
        <v>33</v>
      </c>
      <c r="M300" s="26" t="s">
        <v>18</v>
      </c>
      <c r="N300" s="37">
        <f t="shared" si="4"/>
        <v>8.4062694239588759E-2</v>
      </c>
    </row>
    <row r="301" spans="1:14" x14ac:dyDescent="0.25">
      <c r="A301" s="27" t="s">
        <v>337</v>
      </c>
      <c r="B301" s="28" t="s">
        <v>30</v>
      </c>
      <c r="C301" s="29">
        <v>45601</v>
      </c>
      <c r="D301" s="28" t="s">
        <v>59</v>
      </c>
      <c r="E301" s="28" t="s">
        <v>66</v>
      </c>
      <c r="F301" s="28">
        <v>4561</v>
      </c>
      <c r="G301" s="28">
        <v>51</v>
      </c>
      <c r="H301" s="28">
        <v>441</v>
      </c>
      <c r="I301" s="28">
        <v>22805</v>
      </c>
      <c r="J301" s="28">
        <v>21890</v>
      </c>
      <c r="K301" s="28">
        <v>45</v>
      </c>
      <c r="L301" s="28" t="s">
        <v>27</v>
      </c>
      <c r="M301" s="30" t="s">
        <v>23</v>
      </c>
      <c r="N301" s="37">
        <f t="shared" si="4"/>
        <v>0.22157421618066214</v>
      </c>
    </row>
    <row r="302" spans="1:14" x14ac:dyDescent="0.25">
      <c r="A302" s="23" t="s">
        <v>338</v>
      </c>
      <c r="B302" s="24" t="s">
        <v>25</v>
      </c>
      <c r="C302" s="25">
        <v>45672</v>
      </c>
      <c r="D302" s="24" t="s">
        <v>15</v>
      </c>
      <c r="E302" s="24" t="s">
        <v>26</v>
      </c>
      <c r="F302" s="24">
        <v>3774</v>
      </c>
      <c r="G302" s="24">
        <v>239</v>
      </c>
      <c r="H302" s="24">
        <v>39</v>
      </c>
      <c r="I302" s="24">
        <v>60384</v>
      </c>
      <c r="J302" s="24">
        <v>59490</v>
      </c>
      <c r="K302" s="24">
        <v>241</v>
      </c>
      <c r="L302" s="24" t="s">
        <v>27</v>
      </c>
      <c r="M302" s="26" t="s">
        <v>28</v>
      </c>
      <c r="N302" s="37">
        <f t="shared" si="4"/>
        <v>6.7103868574456813E-2</v>
      </c>
    </row>
    <row r="303" spans="1:14" x14ac:dyDescent="0.25">
      <c r="A303" s="27" t="s">
        <v>339</v>
      </c>
      <c r="B303" s="28" t="s">
        <v>30</v>
      </c>
      <c r="C303" s="29">
        <v>45582</v>
      </c>
      <c r="D303" s="28" t="s">
        <v>59</v>
      </c>
      <c r="E303" s="28" t="s">
        <v>66</v>
      </c>
      <c r="F303" s="28">
        <v>3575</v>
      </c>
      <c r="G303" s="28">
        <v>749</v>
      </c>
      <c r="H303" s="28">
        <v>111</v>
      </c>
      <c r="I303" s="28">
        <v>21450</v>
      </c>
      <c r="J303" s="28">
        <v>20785</v>
      </c>
      <c r="K303" s="28">
        <v>195</v>
      </c>
      <c r="L303" s="28" t="s">
        <v>33</v>
      </c>
      <c r="M303" s="30" t="s">
        <v>23</v>
      </c>
      <c r="N303" s="37">
        <f t="shared" si="4"/>
        <v>0.20675990675990677</v>
      </c>
    </row>
    <row r="304" spans="1:14" x14ac:dyDescent="0.25">
      <c r="A304" s="23" t="s">
        <v>340</v>
      </c>
      <c r="B304" s="24" t="s">
        <v>30</v>
      </c>
      <c r="C304" s="25">
        <v>45743</v>
      </c>
      <c r="D304" s="24" t="s">
        <v>20</v>
      </c>
      <c r="E304" s="24" t="s">
        <v>82</v>
      </c>
      <c r="F304" s="24">
        <v>4941</v>
      </c>
      <c r="G304" s="24">
        <v>414</v>
      </c>
      <c r="H304" s="24">
        <v>266</v>
      </c>
      <c r="I304" s="24">
        <v>39528</v>
      </c>
      <c r="J304" s="24">
        <v>39154</v>
      </c>
      <c r="K304" s="24">
        <v>217</v>
      </c>
      <c r="L304" s="24" t="s">
        <v>27</v>
      </c>
      <c r="M304" s="26" t="s">
        <v>28</v>
      </c>
      <c r="N304" s="37">
        <f t="shared" si="4"/>
        <v>0.14220299534507186</v>
      </c>
    </row>
    <row r="305" spans="1:14" x14ac:dyDescent="0.25">
      <c r="A305" s="27" t="s">
        <v>341</v>
      </c>
      <c r="B305" s="28" t="s">
        <v>25</v>
      </c>
      <c r="C305" s="29">
        <v>45577</v>
      </c>
      <c r="D305" s="28" t="s">
        <v>31</v>
      </c>
      <c r="E305" s="28" t="s">
        <v>105</v>
      </c>
      <c r="F305" s="28">
        <v>3641</v>
      </c>
      <c r="G305" s="28">
        <v>226</v>
      </c>
      <c r="H305" s="28">
        <v>46</v>
      </c>
      <c r="I305" s="28">
        <v>40051</v>
      </c>
      <c r="J305" s="28">
        <v>39319</v>
      </c>
      <c r="K305" s="28">
        <v>296</v>
      </c>
      <c r="L305" s="28" t="s">
        <v>33</v>
      </c>
      <c r="M305" s="30" t="s">
        <v>34</v>
      </c>
      <c r="N305" s="37">
        <f t="shared" si="4"/>
        <v>9.7700431949264685E-2</v>
      </c>
    </row>
    <row r="306" spans="1:14" x14ac:dyDescent="0.25">
      <c r="A306" s="23" t="s">
        <v>342</v>
      </c>
      <c r="B306" s="24" t="s">
        <v>14</v>
      </c>
      <c r="C306" s="25">
        <v>45658</v>
      </c>
      <c r="D306" s="24" t="s">
        <v>39</v>
      </c>
      <c r="E306" s="24" t="s">
        <v>42</v>
      </c>
      <c r="F306" s="24">
        <v>3535</v>
      </c>
      <c r="G306" s="24">
        <v>494</v>
      </c>
      <c r="H306" s="24">
        <v>152</v>
      </c>
      <c r="I306" s="24">
        <v>53025</v>
      </c>
      <c r="J306" s="24">
        <v>52791</v>
      </c>
      <c r="K306" s="24">
        <v>44</v>
      </c>
      <c r="L306" s="24" t="s">
        <v>27</v>
      </c>
      <c r="M306" s="26" t="s">
        <v>34</v>
      </c>
      <c r="N306" s="37">
        <f t="shared" si="4"/>
        <v>7.8849599245638849E-2</v>
      </c>
    </row>
    <row r="307" spans="1:14" x14ac:dyDescent="0.25">
      <c r="A307" s="27" t="s">
        <v>343</v>
      </c>
      <c r="B307" s="28" t="s">
        <v>38</v>
      </c>
      <c r="C307" s="29">
        <v>45509</v>
      </c>
      <c r="D307" s="28" t="s">
        <v>15</v>
      </c>
      <c r="E307" s="28" t="s">
        <v>53</v>
      </c>
      <c r="F307" s="28">
        <v>1741</v>
      </c>
      <c r="G307" s="28">
        <v>831</v>
      </c>
      <c r="H307" s="28">
        <v>345</v>
      </c>
      <c r="I307" s="28">
        <v>17410</v>
      </c>
      <c r="J307" s="28">
        <v>16844</v>
      </c>
      <c r="K307" s="28">
        <v>58</v>
      </c>
      <c r="L307" s="28" t="s">
        <v>33</v>
      </c>
      <c r="M307" s="30" t="s">
        <v>28</v>
      </c>
      <c r="N307" s="37">
        <f t="shared" si="4"/>
        <v>0.16754738655944859</v>
      </c>
    </row>
    <row r="308" spans="1:14" x14ac:dyDescent="0.25">
      <c r="A308" s="23" t="s">
        <v>344</v>
      </c>
      <c r="B308" s="24" t="s">
        <v>14</v>
      </c>
      <c r="C308" s="25">
        <v>45450</v>
      </c>
      <c r="D308" s="24" t="s">
        <v>39</v>
      </c>
      <c r="E308" s="24" t="s">
        <v>42</v>
      </c>
      <c r="F308" s="24">
        <v>1556</v>
      </c>
      <c r="G308" s="24">
        <v>195</v>
      </c>
      <c r="H308" s="24">
        <v>131</v>
      </c>
      <c r="I308" s="24">
        <v>9336</v>
      </c>
      <c r="J308" s="24">
        <v>8875</v>
      </c>
      <c r="K308" s="24">
        <v>137</v>
      </c>
      <c r="L308" s="24" t="s">
        <v>27</v>
      </c>
      <c r="M308" s="26" t="s">
        <v>23</v>
      </c>
      <c r="N308" s="37">
        <f t="shared" si="4"/>
        <v>0.2015852613538989</v>
      </c>
    </row>
    <row r="309" spans="1:14" x14ac:dyDescent="0.25">
      <c r="A309" s="27" t="s">
        <v>345</v>
      </c>
      <c r="B309" s="28" t="s">
        <v>38</v>
      </c>
      <c r="C309" s="29">
        <v>45753</v>
      </c>
      <c r="D309" s="28" t="s">
        <v>44</v>
      </c>
      <c r="E309" s="28" t="s">
        <v>49</v>
      </c>
      <c r="F309" s="28">
        <v>4236</v>
      </c>
      <c r="G309" s="28">
        <v>711</v>
      </c>
      <c r="H309" s="28">
        <v>298</v>
      </c>
      <c r="I309" s="28">
        <v>21180</v>
      </c>
      <c r="J309" s="28">
        <v>20516</v>
      </c>
      <c r="K309" s="28">
        <v>238</v>
      </c>
      <c r="L309" s="28" t="s">
        <v>51</v>
      </c>
      <c r="M309" s="30" t="s">
        <v>18</v>
      </c>
      <c r="N309" s="37">
        <f t="shared" si="4"/>
        <v>0.24763928234183191</v>
      </c>
    </row>
    <row r="310" spans="1:14" x14ac:dyDescent="0.25">
      <c r="A310" s="23" t="s">
        <v>346</v>
      </c>
      <c r="B310" s="24" t="s">
        <v>14</v>
      </c>
      <c r="C310" s="25">
        <v>45622</v>
      </c>
      <c r="D310" s="24" t="s">
        <v>20</v>
      </c>
      <c r="E310" s="24" t="s">
        <v>21</v>
      </c>
      <c r="F310" s="24">
        <v>4516</v>
      </c>
      <c r="G310" s="24">
        <v>836</v>
      </c>
      <c r="H310" s="24">
        <v>169</v>
      </c>
      <c r="I310" s="24">
        <v>49676</v>
      </c>
      <c r="J310" s="24">
        <v>49257</v>
      </c>
      <c r="K310" s="24">
        <v>282</v>
      </c>
      <c r="L310" s="24" t="s">
        <v>33</v>
      </c>
      <c r="M310" s="26" t="s">
        <v>34</v>
      </c>
      <c r="N310" s="37">
        <f t="shared" si="4"/>
        <v>0.11114018842096787</v>
      </c>
    </row>
    <row r="311" spans="1:14" x14ac:dyDescent="0.25">
      <c r="A311" s="27" t="s">
        <v>347</v>
      </c>
      <c r="B311" s="28" t="s">
        <v>25</v>
      </c>
      <c r="C311" s="29">
        <v>45537</v>
      </c>
      <c r="D311" s="28" t="s">
        <v>44</v>
      </c>
      <c r="E311" s="28" t="s">
        <v>45</v>
      </c>
      <c r="F311" s="28">
        <v>4905</v>
      </c>
      <c r="G311" s="28">
        <v>845</v>
      </c>
      <c r="H311" s="28">
        <v>129</v>
      </c>
      <c r="I311" s="28">
        <v>98100</v>
      </c>
      <c r="J311" s="28">
        <v>97772</v>
      </c>
      <c r="K311" s="28">
        <v>279</v>
      </c>
      <c r="L311" s="28" t="s">
        <v>27</v>
      </c>
      <c r="M311" s="30" t="s">
        <v>23</v>
      </c>
      <c r="N311" s="37">
        <f t="shared" si="4"/>
        <v>5.9928644240570844E-2</v>
      </c>
    </row>
    <row r="312" spans="1:14" x14ac:dyDescent="0.25">
      <c r="A312" s="23" t="s">
        <v>348</v>
      </c>
      <c r="B312" s="24" t="s">
        <v>25</v>
      </c>
      <c r="C312" s="25">
        <v>45586</v>
      </c>
      <c r="D312" s="24" t="s">
        <v>59</v>
      </c>
      <c r="E312" s="24" t="s">
        <v>143</v>
      </c>
      <c r="F312" s="24">
        <v>4275</v>
      </c>
      <c r="G312" s="24">
        <v>680</v>
      </c>
      <c r="H312" s="24">
        <v>385</v>
      </c>
      <c r="I312" s="24">
        <v>64125</v>
      </c>
      <c r="J312" s="24">
        <v>63650</v>
      </c>
      <c r="K312" s="24">
        <v>104</v>
      </c>
      <c r="L312" s="24" t="s">
        <v>33</v>
      </c>
      <c r="M312" s="26" t="s">
        <v>34</v>
      </c>
      <c r="N312" s="37">
        <f t="shared" si="4"/>
        <v>8.3274853801169585E-2</v>
      </c>
    </row>
    <row r="313" spans="1:14" x14ac:dyDescent="0.25">
      <c r="A313" s="27" t="s">
        <v>348</v>
      </c>
      <c r="B313" s="28" t="s">
        <v>25</v>
      </c>
      <c r="C313" s="29">
        <v>45586</v>
      </c>
      <c r="D313" s="28" t="s">
        <v>59</v>
      </c>
      <c r="E313" s="28" t="s">
        <v>143</v>
      </c>
      <c r="F313" s="28">
        <v>4275</v>
      </c>
      <c r="G313" s="28">
        <v>680</v>
      </c>
      <c r="H313" s="28">
        <v>385</v>
      </c>
      <c r="I313" s="28">
        <v>64125</v>
      </c>
      <c r="J313" s="28">
        <v>63650</v>
      </c>
      <c r="K313" s="28">
        <v>104</v>
      </c>
      <c r="L313" s="28" t="s">
        <v>27</v>
      </c>
      <c r="M313" s="30" t="s">
        <v>34</v>
      </c>
      <c r="N313" s="37">
        <f t="shared" si="4"/>
        <v>8.3274853801169585E-2</v>
      </c>
    </row>
    <row r="314" spans="1:14" x14ac:dyDescent="0.25">
      <c r="A314" s="23" t="s">
        <v>348</v>
      </c>
      <c r="B314" s="24" t="s">
        <v>25</v>
      </c>
      <c r="C314" s="25">
        <v>45586</v>
      </c>
      <c r="D314" s="24" t="s">
        <v>59</v>
      </c>
      <c r="E314" s="24" t="s">
        <v>143</v>
      </c>
      <c r="F314" s="24">
        <v>4275</v>
      </c>
      <c r="G314" s="24">
        <v>680</v>
      </c>
      <c r="H314" s="24">
        <v>385</v>
      </c>
      <c r="I314" s="24">
        <v>64125</v>
      </c>
      <c r="J314" s="24">
        <v>63650</v>
      </c>
      <c r="K314" s="24">
        <v>104</v>
      </c>
      <c r="L314" s="24" t="s">
        <v>379</v>
      </c>
      <c r="M314" s="26" t="s">
        <v>34</v>
      </c>
      <c r="N314" s="37">
        <f t="shared" si="4"/>
        <v>8.3274853801169585E-2</v>
      </c>
    </row>
    <row r="315" spans="1:14" x14ac:dyDescent="0.25">
      <c r="A315" s="27" t="s">
        <v>349</v>
      </c>
      <c r="B315" s="28" t="s">
        <v>25</v>
      </c>
      <c r="C315" s="29">
        <v>45738</v>
      </c>
      <c r="D315" s="28" t="s">
        <v>44</v>
      </c>
      <c r="E315" s="28" t="s">
        <v>45</v>
      </c>
      <c r="F315" s="28">
        <v>3166</v>
      </c>
      <c r="G315" s="28">
        <v>90</v>
      </c>
      <c r="H315" s="28">
        <v>341</v>
      </c>
      <c r="I315" s="28">
        <v>56988</v>
      </c>
      <c r="J315" s="28">
        <v>56125</v>
      </c>
      <c r="K315" s="28">
        <v>135</v>
      </c>
      <c r="L315" s="28" t="s">
        <v>33</v>
      </c>
      <c r="M315" s="30" t="s">
        <v>23</v>
      </c>
      <c r="N315" s="37">
        <f t="shared" si="4"/>
        <v>6.3118551273952411E-2</v>
      </c>
    </row>
    <row r="316" spans="1:14" x14ac:dyDescent="0.25">
      <c r="A316" s="23" t="s">
        <v>350</v>
      </c>
      <c r="B316" s="24" t="s">
        <v>30</v>
      </c>
      <c r="C316" s="25">
        <v>45568</v>
      </c>
      <c r="D316" s="24" t="s">
        <v>59</v>
      </c>
      <c r="E316" s="24" t="s">
        <v>66</v>
      </c>
      <c r="F316" s="24">
        <v>1488</v>
      </c>
      <c r="G316" s="24">
        <v>417</v>
      </c>
      <c r="H316" s="24">
        <v>168</v>
      </c>
      <c r="I316" s="24">
        <v>19344</v>
      </c>
      <c r="J316" s="24">
        <v>18395</v>
      </c>
      <c r="K316" s="24">
        <v>30</v>
      </c>
      <c r="L316" s="24" t="s">
        <v>51</v>
      </c>
      <c r="M316" s="26" t="s">
        <v>28</v>
      </c>
      <c r="N316" s="37">
        <f t="shared" si="4"/>
        <v>0.1071650124069479</v>
      </c>
    </row>
    <row r="317" spans="1:14" x14ac:dyDescent="0.25">
      <c r="A317" s="27" t="s">
        <v>351</v>
      </c>
      <c r="B317" s="28" t="s">
        <v>14</v>
      </c>
      <c r="C317" s="29">
        <v>45786</v>
      </c>
      <c r="D317" s="28" t="s">
        <v>15</v>
      </c>
      <c r="E317" s="28" t="s">
        <v>16</v>
      </c>
      <c r="F317" s="28">
        <v>3367</v>
      </c>
      <c r="G317" s="28">
        <v>302</v>
      </c>
      <c r="H317" s="28">
        <v>57</v>
      </c>
      <c r="I317" s="28">
        <v>63973</v>
      </c>
      <c r="J317" s="28">
        <v>63789</v>
      </c>
      <c r="K317" s="28">
        <v>157</v>
      </c>
      <c r="L317" s="28" t="s">
        <v>51</v>
      </c>
      <c r="M317" s="30" t="s">
        <v>23</v>
      </c>
      <c r="N317" s="37">
        <f t="shared" si="4"/>
        <v>5.8243321401216137E-2</v>
      </c>
    </row>
    <row r="318" spans="1:14" x14ac:dyDescent="0.25">
      <c r="A318" s="23" t="s">
        <v>352</v>
      </c>
      <c r="B318" s="24" t="s">
        <v>14</v>
      </c>
      <c r="C318" s="25">
        <v>45552</v>
      </c>
      <c r="D318" s="24" t="s">
        <v>20</v>
      </c>
      <c r="E318" s="24" t="s">
        <v>21</v>
      </c>
      <c r="F318" s="24">
        <v>571</v>
      </c>
      <c r="G318" s="24">
        <v>190</v>
      </c>
      <c r="H318" s="24">
        <v>352</v>
      </c>
      <c r="I318" s="24">
        <v>9707</v>
      </c>
      <c r="J318" s="24">
        <v>9418</v>
      </c>
      <c r="K318" s="24">
        <v>231</v>
      </c>
      <c r="L318" s="24" t="s">
        <v>27</v>
      </c>
      <c r="M318" s="26" t="s">
        <v>34</v>
      </c>
      <c r="N318" s="37">
        <f t="shared" si="4"/>
        <v>0.11465952405480581</v>
      </c>
    </row>
    <row r="319" spans="1:14" x14ac:dyDescent="0.25">
      <c r="A319" s="27" t="s">
        <v>353</v>
      </c>
      <c r="B319" s="28" t="s">
        <v>25</v>
      </c>
      <c r="C319" s="29">
        <v>45491</v>
      </c>
      <c r="D319" s="28" t="s">
        <v>20</v>
      </c>
      <c r="E319" s="28" t="s">
        <v>77</v>
      </c>
      <c r="F319" s="28">
        <v>4021</v>
      </c>
      <c r="G319" s="28">
        <v>794</v>
      </c>
      <c r="H319" s="28">
        <v>77</v>
      </c>
      <c r="I319" s="28">
        <v>36189</v>
      </c>
      <c r="J319" s="28">
        <v>35505</v>
      </c>
      <c r="K319" s="28">
        <v>174</v>
      </c>
      <c r="L319" s="28" t="s">
        <v>33</v>
      </c>
      <c r="M319" s="30"/>
      <c r="N319" s="37">
        <f t="shared" si="4"/>
        <v>0.13517919809886983</v>
      </c>
    </row>
    <row r="320" spans="1:14" x14ac:dyDescent="0.25">
      <c r="A320" s="23" t="s">
        <v>354</v>
      </c>
      <c r="B320" s="24" t="s">
        <v>25</v>
      </c>
      <c r="C320" s="25">
        <v>45560</v>
      </c>
      <c r="D320" s="24" t="s">
        <v>59</v>
      </c>
      <c r="E320" s="24" t="s">
        <v>143</v>
      </c>
      <c r="F320" s="24">
        <v>3389</v>
      </c>
      <c r="G320" s="24">
        <v>344</v>
      </c>
      <c r="H320" s="24">
        <v>229</v>
      </c>
      <c r="I320" s="24">
        <v>20334</v>
      </c>
      <c r="J320" s="24">
        <v>19443</v>
      </c>
      <c r="K320" s="24">
        <v>228</v>
      </c>
      <c r="L320" s="24" t="s">
        <v>51</v>
      </c>
      <c r="M320" s="26" t="s">
        <v>28</v>
      </c>
      <c r="N320" s="37">
        <f t="shared" si="4"/>
        <v>0.19484607062063539</v>
      </c>
    </row>
    <row r="321" spans="1:14" x14ac:dyDescent="0.25">
      <c r="A321" s="27" t="s">
        <v>355</v>
      </c>
      <c r="B321" s="28" t="s">
        <v>30</v>
      </c>
      <c r="C321" s="29">
        <v>45519</v>
      </c>
      <c r="D321" s="28" t="s">
        <v>15</v>
      </c>
      <c r="E321" s="28" t="s">
        <v>64</v>
      </c>
      <c r="F321" s="28">
        <v>1164</v>
      </c>
      <c r="G321" s="28">
        <v>616</v>
      </c>
      <c r="H321" s="28">
        <v>324</v>
      </c>
      <c r="I321" s="28">
        <v>6984</v>
      </c>
      <c r="J321" s="28">
        <v>6636</v>
      </c>
      <c r="K321" s="28">
        <v>82</v>
      </c>
      <c r="L321" s="28" t="s">
        <v>33</v>
      </c>
      <c r="M321" s="30" t="s">
        <v>18</v>
      </c>
      <c r="N321" s="37">
        <f t="shared" si="4"/>
        <v>0.30126002290950743</v>
      </c>
    </row>
    <row r="322" spans="1:14" x14ac:dyDescent="0.25">
      <c r="A322" s="23" t="s">
        <v>356</v>
      </c>
      <c r="B322" s="24" t="s">
        <v>25</v>
      </c>
      <c r="C322" s="25">
        <v>45764</v>
      </c>
      <c r="D322" s="24" t="s">
        <v>39</v>
      </c>
      <c r="E322" s="24" t="s">
        <v>55</v>
      </c>
      <c r="F322" s="24">
        <v>4780</v>
      </c>
      <c r="G322" s="24">
        <v>691</v>
      </c>
      <c r="H322" s="24">
        <v>380</v>
      </c>
      <c r="I322" s="24">
        <v>86040</v>
      </c>
      <c r="J322" s="24">
        <v>85743</v>
      </c>
      <c r="K322" s="24">
        <v>262</v>
      </c>
      <c r="L322" s="24" t="s">
        <v>51</v>
      </c>
      <c r="M322" s="26" t="s">
        <v>28</v>
      </c>
      <c r="N322" s="37">
        <f t="shared" si="4"/>
        <v>6.800325430032543E-2</v>
      </c>
    </row>
    <row r="323" spans="1:14" x14ac:dyDescent="0.25">
      <c r="A323" s="27" t="s">
        <v>357</v>
      </c>
      <c r="B323" s="28" t="s">
        <v>38</v>
      </c>
      <c r="C323" s="29">
        <v>45624</v>
      </c>
      <c r="D323" s="28" t="s">
        <v>39</v>
      </c>
      <c r="E323" s="28" t="s">
        <v>40</v>
      </c>
      <c r="F323" s="28">
        <v>2751</v>
      </c>
      <c r="G323" s="28">
        <v>33</v>
      </c>
      <c r="H323" s="28">
        <v>430</v>
      </c>
      <c r="I323" s="28">
        <v>44016</v>
      </c>
      <c r="J323" s="28">
        <v>43415</v>
      </c>
      <c r="K323" s="28">
        <v>129</v>
      </c>
      <c r="L323" s="28" t="s">
        <v>51</v>
      </c>
      <c r="M323" s="30"/>
      <c r="N323" s="37">
        <f t="shared" ref="N323:N340" si="5">(F323+G323+H323)/I323</f>
        <v>7.3018902217375503E-2</v>
      </c>
    </row>
    <row r="324" spans="1:14" x14ac:dyDescent="0.25">
      <c r="A324" s="23" t="s">
        <v>358</v>
      </c>
      <c r="B324" s="24" t="s">
        <v>30</v>
      </c>
      <c r="C324" s="25">
        <v>45646</v>
      </c>
      <c r="D324" s="24" t="s">
        <v>39</v>
      </c>
      <c r="E324" s="24" t="s">
        <v>68</v>
      </c>
      <c r="F324" s="24">
        <v>2107</v>
      </c>
      <c r="G324" s="24">
        <v>550</v>
      </c>
      <c r="H324" s="24">
        <v>349</v>
      </c>
      <c r="I324" s="24">
        <v>35819</v>
      </c>
      <c r="J324" s="24">
        <v>35340</v>
      </c>
      <c r="K324" s="24">
        <v>191</v>
      </c>
      <c r="L324" s="24" t="s">
        <v>33</v>
      </c>
      <c r="M324" s="26" t="s">
        <v>34</v>
      </c>
      <c r="N324" s="37">
        <f t="shared" si="5"/>
        <v>8.3921940869371006E-2</v>
      </c>
    </row>
    <row r="325" spans="1:14" x14ac:dyDescent="0.25">
      <c r="A325" s="27" t="s">
        <v>359</v>
      </c>
      <c r="B325" s="28" t="s">
        <v>38</v>
      </c>
      <c r="C325" s="29">
        <v>45602</v>
      </c>
      <c r="D325" s="28" t="s">
        <v>59</v>
      </c>
      <c r="E325" s="28" t="s">
        <v>60</v>
      </c>
      <c r="F325" s="28">
        <v>4663</v>
      </c>
      <c r="G325" s="28">
        <v>145</v>
      </c>
      <c r="H325" s="28">
        <v>225</v>
      </c>
      <c r="I325" s="28">
        <v>69945</v>
      </c>
      <c r="J325" s="28">
        <v>69596</v>
      </c>
      <c r="K325" s="28">
        <v>35</v>
      </c>
      <c r="L325" s="28" t="s">
        <v>33</v>
      </c>
      <c r="M325" s="30" t="s">
        <v>34</v>
      </c>
      <c r="N325" s="37">
        <f t="shared" si="5"/>
        <v>7.1956537279290869E-2</v>
      </c>
    </row>
    <row r="326" spans="1:14" x14ac:dyDescent="0.25">
      <c r="A326" s="23" t="s">
        <v>360</v>
      </c>
      <c r="B326" s="24" t="s">
        <v>38</v>
      </c>
      <c r="C326" s="25">
        <v>45613</v>
      </c>
      <c r="D326" s="24" t="s">
        <v>20</v>
      </c>
      <c r="E326" s="24" t="s">
        <v>47</v>
      </c>
      <c r="F326" s="24">
        <v>880</v>
      </c>
      <c r="G326" s="24">
        <v>297</v>
      </c>
      <c r="H326" s="24">
        <v>345</v>
      </c>
      <c r="I326" s="24">
        <v>12320</v>
      </c>
      <c r="J326" s="24">
        <v>11978</v>
      </c>
      <c r="K326" s="24">
        <v>238</v>
      </c>
      <c r="L326" s="24" t="s">
        <v>27</v>
      </c>
      <c r="M326" s="26"/>
      <c r="N326" s="37">
        <f t="shared" si="5"/>
        <v>0.12353896103896105</v>
      </c>
    </row>
    <row r="327" spans="1:14" x14ac:dyDescent="0.25">
      <c r="A327" s="27" t="s">
        <v>360</v>
      </c>
      <c r="B327" s="28" t="s">
        <v>38</v>
      </c>
      <c r="C327" s="29">
        <v>45613</v>
      </c>
      <c r="D327" s="28" t="s">
        <v>20</v>
      </c>
      <c r="E327" s="28" t="s">
        <v>47</v>
      </c>
      <c r="F327" s="28">
        <v>880</v>
      </c>
      <c r="G327" s="28">
        <v>297</v>
      </c>
      <c r="H327" s="28">
        <v>345</v>
      </c>
      <c r="I327" s="28">
        <v>12320</v>
      </c>
      <c r="J327" s="28">
        <v>11978</v>
      </c>
      <c r="K327" s="28">
        <v>238</v>
      </c>
      <c r="L327" s="28" t="s">
        <v>379</v>
      </c>
      <c r="M327" s="30"/>
      <c r="N327" s="37">
        <f t="shared" si="5"/>
        <v>0.12353896103896105</v>
      </c>
    </row>
    <row r="328" spans="1:14" x14ac:dyDescent="0.25">
      <c r="A328" s="23" t="s">
        <v>361</v>
      </c>
      <c r="B328" s="24" t="s">
        <v>38</v>
      </c>
      <c r="C328" s="25">
        <v>45791</v>
      </c>
      <c r="D328" s="24" t="s">
        <v>20</v>
      </c>
      <c r="E328" s="24" t="s">
        <v>47</v>
      </c>
      <c r="F328" s="24">
        <v>2634</v>
      </c>
      <c r="G328" s="24">
        <v>726</v>
      </c>
      <c r="H328" s="24">
        <v>241</v>
      </c>
      <c r="I328" s="24">
        <v>28974</v>
      </c>
      <c r="J328" s="24">
        <v>28102</v>
      </c>
      <c r="K328" s="24">
        <v>277</v>
      </c>
      <c r="L328" s="24" t="s">
        <v>33</v>
      </c>
      <c r="M328" s="26" t="s">
        <v>18</v>
      </c>
      <c r="N328" s="37">
        <f t="shared" si="5"/>
        <v>0.12428384068475185</v>
      </c>
    </row>
    <row r="329" spans="1:14" x14ac:dyDescent="0.25">
      <c r="A329" s="27" t="s">
        <v>362</v>
      </c>
      <c r="B329" s="28" t="s">
        <v>38</v>
      </c>
      <c r="C329" s="29">
        <v>45462</v>
      </c>
      <c r="D329" s="28" t="s">
        <v>39</v>
      </c>
      <c r="E329" s="28" t="s">
        <v>40</v>
      </c>
      <c r="F329" s="28">
        <v>4731</v>
      </c>
      <c r="G329" s="28">
        <v>173</v>
      </c>
      <c r="H329" s="28">
        <v>276</v>
      </c>
      <c r="I329" s="28">
        <v>28386</v>
      </c>
      <c r="J329" s="28">
        <v>28185</v>
      </c>
      <c r="K329" s="28">
        <v>89</v>
      </c>
      <c r="L329" s="28" t="s">
        <v>33</v>
      </c>
      <c r="M329" s="30" t="s">
        <v>28</v>
      </c>
      <c r="N329" s="37">
        <f t="shared" si="5"/>
        <v>0.18248432325794406</v>
      </c>
    </row>
    <row r="330" spans="1:14" x14ac:dyDescent="0.25">
      <c r="A330" s="23" t="s">
        <v>363</v>
      </c>
      <c r="B330" s="24" t="s">
        <v>14</v>
      </c>
      <c r="C330" s="25">
        <v>45783</v>
      </c>
      <c r="D330" s="24" t="s">
        <v>44</v>
      </c>
      <c r="E330" s="24" t="s">
        <v>92</v>
      </c>
      <c r="F330" s="24">
        <v>1952</v>
      </c>
      <c r="G330" s="24">
        <v>344</v>
      </c>
      <c r="H330" s="24">
        <v>287</v>
      </c>
      <c r="I330" s="24">
        <v>15616</v>
      </c>
      <c r="J330" s="24">
        <v>15403</v>
      </c>
      <c r="K330" s="24">
        <v>235</v>
      </c>
      <c r="L330" s="24" t="s">
        <v>51</v>
      </c>
      <c r="M330" s="26" t="s">
        <v>23</v>
      </c>
      <c r="N330" s="37">
        <f t="shared" si="5"/>
        <v>0.16540727459016394</v>
      </c>
    </row>
    <row r="331" spans="1:14" x14ac:dyDescent="0.25">
      <c r="A331" s="27" t="s">
        <v>363</v>
      </c>
      <c r="B331" s="28" t="s">
        <v>14</v>
      </c>
      <c r="C331" s="29">
        <v>45783</v>
      </c>
      <c r="D331" s="28" t="s">
        <v>44</v>
      </c>
      <c r="E331" s="28" t="s">
        <v>92</v>
      </c>
      <c r="F331" s="28">
        <v>1952</v>
      </c>
      <c r="G331" s="28">
        <v>344</v>
      </c>
      <c r="H331" s="28">
        <v>287</v>
      </c>
      <c r="I331" s="28">
        <v>15616</v>
      </c>
      <c r="J331" s="28">
        <v>15403</v>
      </c>
      <c r="K331" s="28">
        <v>235</v>
      </c>
      <c r="L331" s="28" t="s">
        <v>27</v>
      </c>
      <c r="M331" s="30" t="s">
        <v>23</v>
      </c>
      <c r="N331" s="37">
        <f t="shared" si="5"/>
        <v>0.16540727459016394</v>
      </c>
    </row>
    <row r="332" spans="1:14" x14ac:dyDescent="0.25">
      <c r="A332" s="23" t="s">
        <v>363</v>
      </c>
      <c r="B332" s="24" t="s">
        <v>14</v>
      </c>
      <c r="C332" s="25">
        <v>45783</v>
      </c>
      <c r="D332" s="24" t="s">
        <v>44</v>
      </c>
      <c r="E332" s="24" t="s">
        <v>92</v>
      </c>
      <c r="F332" s="24">
        <v>1952</v>
      </c>
      <c r="G332" s="24">
        <v>344</v>
      </c>
      <c r="H332" s="24">
        <v>287</v>
      </c>
      <c r="I332" s="24">
        <v>15616</v>
      </c>
      <c r="J332" s="24">
        <v>15403</v>
      </c>
      <c r="K332" s="24">
        <v>235</v>
      </c>
      <c r="L332" s="24" t="s">
        <v>379</v>
      </c>
      <c r="M332" s="26" t="s">
        <v>23</v>
      </c>
      <c r="N332" s="37">
        <f t="shared" si="5"/>
        <v>0.16540727459016394</v>
      </c>
    </row>
    <row r="333" spans="1:14" x14ac:dyDescent="0.25">
      <c r="A333" s="27" t="s">
        <v>364</v>
      </c>
      <c r="B333" s="28" t="s">
        <v>14</v>
      </c>
      <c r="C333" s="29">
        <v>45699</v>
      </c>
      <c r="D333" s="28" t="s">
        <v>59</v>
      </c>
      <c r="E333" s="28" t="s">
        <v>99</v>
      </c>
      <c r="F333" s="28">
        <v>3440</v>
      </c>
      <c r="G333" s="28">
        <v>13</v>
      </c>
      <c r="H333" s="28">
        <v>20</v>
      </c>
      <c r="I333" s="28">
        <v>58480</v>
      </c>
      <c r="J333" s="28">
        <v>58146</v>
      </c>
      <c r="K333" s="28">
        <v>210</v>
      </c>
      <c r="L333" s="28" t="s">
        <v>27</v>
      </c>
      <c r="M333" s="30" t="s">
        <v>34</v>
      </c>
      <c r="N333" s="37">
        <f t="shared" si="5"/>
        <v>5.9387824897400819E-2</v>
      </c>
    </row>
    <row r="334" spans="1:14" x14ac:dyDescent="0.25">
      <c r="A334" s="23" t="s">
        <v>364</v>
      </c>
      <c r="B334" s="24" t="s">
        <v>14</v>
      </c>
      <c r="C334" s="25">
        <v>45699</v>
      </c>
      <c r="D334" s="24" t="s">
        <v>59</v>
      </c>
      <c r="E334" s="24" t="s">
        <v>99</v>
      </c>
      <c r="F334" s="24">
        <v>3440</v>
      </c>
      <c r="G334" s="24">
        <v>13</v>
      </c>
      <c r="H334" s="24">
        <v>20</v>
      </c>
      <c r="I334" s="24">
        <v>58480</v>
      </c>
      <c r="J334" s="24">
        <v>58146</v>
      </c>
      <c r="K334" s="24">
        <v>210</v>
      </c>
      <c r="L334" s="24" t="s">
        <v>381</v>
      </c>
      <c r="M334" s="26" t="s">
        <v>34</v>
      </c>
      <c r="N334" s="37">
        <f t="shared" si="5"/>
        <v>5.9387824897400819E-2</v>
      </c>
    </row>
    <row r="335" spans="1:14" x14ac:dyDescent="0.25">
      <c r="A335" s="27" t="s">
        <v>365</v>
      </c>
      <c r="B335" s="28" t="s">
        <v>14</v>
      </c>
      <c r="C335" s="29">
        <v>45650</v>
      </c>
      <c r="D335" s="28" t="s">
        <v>20</v>
      </c>
      <c r="E335" s="28" t="s">
        <v>21</v>
      </c>
      <c r="F335" s="28">
        <v>2166</v>
      </c>
      <c r="G335" s="28">
        <v>354</v>
      </c>
      <c r="H335" s="28">
        <v>117</v>
      </c>
      <c r="I335" s="28">
        <v>10830</v>
      </c>
      <c r="J335" s="28">
        <v>10245</v>
      </c>
      <c r="K335" s="28">
        <v>24</v>
      </c>
      <c r="L335" s="28" t="s">
        <v>33</v>
      </c>
      <c r="M335" s="30" t="s">
        <v>34</v>
      </c>
      <c r="N335" s="37">
        <f t="shared" si="5"/>
        <v>0.24349030470914126</v>
      </c>
    </row>
    <row r="336" spans="1:14" x14ac:dyDescent="0.25">
      <c r="A336" s="23" t="s">
        <v>366</v>
      </c>
      <c r="B336" s="24" t="s">
        <v>38</v>
      </c>
      <c r="C336" s="25">
        <v>45589</v>
      </c>
      <c r="D336" s="24" t="s">
        <v>44</v>
      </c>
      <c r="E336" s="24" t="s">
        <v>49</v>
      </c>
      <c r="F336" s="24">
        <v>4303</v>
      </c>
      <c r="G336" s="24">
        <v>451</v>
      </c>
      <c r="H336" s="24">
        <v>286</v>
      </c>
      <c r="I336" s="24">
        <v>86060</v>
      </c>
      <c r="J336" s="24">
        <v>85823</v>
      </c>
      <c r="K336" s="24">
        <v>14</v>
      </c>
      <c r="L336" s="24" t="s">
        <v>27</v>
      </c>
      <c r="M336" s="26" t="s">
        <v>28</v>
      </c>
      <c r="N336" s="37">
        <f t="shared" si="5"/>
        <v>5.8563792702765516E-2</v>
      </c>
    </row>
    <row r="337" spans="1:14" x14ac:dyDescent="0.25">
      <c r="A337" s="27" t="s">
        <v>367</v>
      </c>
      <c r="B337" s="28" t="s">
        <v>38</v>
      </c>
      <c r="C337" s="29">
        <v>45530</v>
      </c>
      <c r="D337" s="28" t="s">
        <v>44</v>
      </c>
      <c r="E337" s="28" t="s">
        <v>49</v>
      </c>
      <c r="F337" s="28">
        <v>2581</v>
      </c>
      <c r="G337" s="28">
        <v>517</v>
      </c>
      <c r="H337" s="28">
        <v>117</v>
      </c>
      <c r="I337" s="28">
        <v>23229</v>
      </c>
      <c r="J337" s="28">
        <v>22331</v>
      </c>
      <c r="K337" s="28">
        <v>70</v>
      </c>
      <c r="L337" s="28" t="s">
        <v>51</v>
      </c>
      <c r="M337" s="30" t="s">
        <v>28</v>
      </c>
      <c r="N337" s="37">
        <f t="shared" si="5"/>
        <v>0.13840458048129492</v>
      </c>
    </row>
    <row r="338" spans="1:14" x14ac:dyDescent="0.25">
      <c r="A338" s="23" t="s">
        <v>368</v>
      </c>
      <c r="B338" s="24" t="s">
        <v>14</v>
      </c>
      <c r="C338" s="25">
        <v>45535</v>
      </c>
      <c r="D338" s="24" t="s">
        <v>39</v>
      </c>
      <c r="E338" s="24" t="s">
        <v>42</v>
      </c>
      <c r="F338" s="24">
        <v>4494</v>
      </c>
      <c r="G338" s="24">
        <v>717</v>
      </c>
      <c r="H338" s="24">
        <v>45</v>
      </c>
      <c r="I338" s="24">
        <v>62916</v>
      </c>
      <c r="J338" s="24">
        <v>62688</v>
      </c>
      <c r="K338" s="24">
        <v>191</v>
      </c>
      <c r="L338" s="24" t="s">
        <v>27</v>
      </c>
      <c r="M338" s="26" t="s">
        <v>18</v>
      </c>
      <c r="N338" s="37">
        <f t="shared" si="5"/>
        <v>8.3539958039290485E-2</v>
      </c>
    </row>
    <row r="339" spans="1:14" x14ac:dyDescent="0.25">
      <c r="A339" s="27" t="s">
        <v>368</v>
      </c>
      <c r="B339" s="28" t="s">
        <v>14</v>
      </c>
      <c r="C339" s="29">
        <v>45535</v>
      </c>
      <c r="D339" s="28" t="s">
        <v>39</v>
      </c>
      <c r="E339" s="28" t="s">
        <v>42</v>
      </c>
      <c r="F339" s="28">
        <v>4494</v>
      </c>
      <c r="G339" s="28">
        <v>717</v>
      </c>
      <c r="H339" s="28">
        <v>45</v>
      </c>
      <c r="I339" s="28">
        <v>62916</v>
      </c>
      <c r="J339" s="28">
        <v>62688</v>
      </c>
      <c r="K339" s="28">
        <v>191</v>
      </c>
      <c r="L339" s="28" t="s">
        <v>33</v>
      </c>
      <c r="M339" s="30" t="s">
        <v>18</v>
      </c>
      <c r="N339" s="37">
        <f t="shared" si="5"/>
        <v>8.3539958039290485E-2</v>
      </c>
    </row>
    <row r="340" spans="1:14" x14ac:dyDescent="0.25">
      <c r="A340" s="31" t="s">
        <v>368</v>
      </c>
      <c r="B340" s="18" t="s">
        <v>14</v>
      </c>
      <c r="C340" s="32">
        <v>45535</v>
      </c>
      <c r="D340" s="18" t="s">
        <v>39</v>
      </c>
      <c r="E340" s="18" t="s">
        <v>42</v>
      </c>
      <c r="F340" s="18">
        <v>4494</v>
      </c>
      <c r="G340" s="18">
        <v>717</v>
      </c>
      <c r="H340" s="18">
        <v>45</v>
      </c>
      <c r="I340" s="18">
        <v>62916</v>
      </c>
      <c r="J340" s="18">
        <v>62688</v>
      </c>
      <c r="K340" s="18">
        <v>191</v>
      </c>
      <c r="L340" s="18" t="s">
        <v>380</v>
      </c>
      <c r="M340" s="33" t="s">
        <v>18</v>
      </c>
      <c r="N340" s="37">
        <f t="shared" si="5"/>
        <v>8.3539958039290485E-2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C894-C58F-4F03-9D12-913F4F002F5B}">
  <dimension ref="A1:L303"/>
  <sheetViews>
    <sheetView workbookViewId="0">
      <selection activeCell="K9" sqref="K9"/>
    </sheetView>
  </sheetViews>
  <sheetFormatPr defaultRowHeight="15" x14ac:dyDescent="0.25"/>
  <cols>
    <col min="1" max="1" width="17.140625" customWidth="1"/>
    <col min="2" max="2" width="14.5703125" customWidth="1"/>
    <col min="3" max="3" width="27.7109375" customWidth="1"/>
    <col min="4" max="4" width="12.7109375" customWidth="1"/>
    <col min="5" max="5" width="24.5703125" customWidth="1"/>
    <col min="6" max="6" width="18.85546875" customWidth="1"/>
    <col min="7" max="7" width="19.28515625" customWidth="1"/>
  </cols>
  <sheetData>
    <row r="1" spans="1:12" ht="21" x14ac:dyDescent="0.35">
      <c r="A1" s="5" t="s">
        <v>414</v>
      </c>
      <c r="B1" s="5"/>
      <c r="C1" s="5"/>
      <c r="D1" s="5"/>
      <c r="E1" s="7"/>
      <c r="F1" s="7"/>
    </row>
    <row r="2" spans="1:12" ht="15.75" x14ac:dyDescent="0.25">
      <c r="A2" s="67" t="s">
        <v>409</v>
      </c>
      <c r="B2" s="67"/>
      <c r="C2" s="67"/>
      <c r="D2" s="67"/>
      <c r="E2" s="67"/>
      <c r="F2" s="67"/>
    </row>
    <row r="3" spans="1:12" x14ac:dyDescent="0.25">
      <c r="A3" s="1" t="s">
        <v>0</v>
      </c>
      <c r="B3" s="1" t="s">
        <v>1</v>
      </c>
      <c r="C3" s="6" t="s">
        <v>399</v>
      </c>
      <c r="D3" s="1"/>
      <c r="E3" s="14"/>
      <c r="F3" s="15"/>
      <c r="G3" s="16"/>
      <c r="I3" s="13" t="s">
        <v>410</v>
      </c>
      <c r="J3" s="13"/>
      <c r="K3" s="13"/>
      <c r="L3" s="13"/>
    </row>
    <row r="4" spans="1:12" x14ac:dyDescent="0.25">
      <c r="A4" s="10" t="s">
        <v>283</v>
      </c>
      <c r="B4" s="10" t="s">
        <v>30</v>
      </c>
      <c r="C4" s="11">
        <f>((Posts!F221+Posts!G221+Posts!H221)/Posts!I221)*100</f>
        <v>181.29251700680271</v>
      </c>
      <c r="D4" s="2"/>
      <c r="E4" s="2"/>
      <c r="F4" s="2"/>
      <c r="G4" s="2"/>
      <c r="I4" s="9" t="s">
        <v>14</v>
      </c>
      <c r="J4" s="9">
        <f>AVERAGEIF(B4:B303,"Twitter",C4:C303)</f>
        <v>14.368407434207896</v>
      </c>
      <c r="K4" s="9"/>
      <c r="L4" s="9"/>
    </row>
    <row r="5" spans="1:12" x14ac:dyDescent="0.25">
      <c r="A5" s="10" t="s">
        <v>114</v>
      </c>
      <c r="B5" s="10" t="s">
        <v>30</v>
      </c>
      <c r="C5" s="11">
        <f>((Posts!F59+Posts!G59+Posts!H59)/Posts!I59)*100</f>
        <v>86.601941747572823</v>
      </c>
      <c r="D5" s="2"/>
      <c r="E5" s="2"/>
      <c r="F5" s="2"/>
      <c r="G5" s="2"/>
      <c r="I5" s="9" t="s">
        <v>30</v>
      </c>
      <c r="J5" s="9">
        <f>AVERAGEIF(B4:B303,"Instagram",C4:C303)</f>
        <v>19.329257693923477</v>
      </c>
      <c r="K5" s="9"/>
      <c r="L5" s="9"/>
    </row>
    <row r="6" spans="1:12" x14ac:dyDescent="0.25">
      <c r="A6" s="10" t="s">
        <v>296</v>
      </c>
      <c r="B6" s="10" t="s">
        <v>14</v>
      </c>
      <c r="C6" s="11">
        <f>((Posts!F233+Posts!G233+Posts!H233)/Posts!I233)*100</f>
        <v>71.686746987951807</v>
      </c>
      <c r="D6" s="2"/>
      <c r="E6" s="2"/>
      <c r="F6" s="2"/>
      <c r="G6" s="2"/>
      <c r="I6" s="9" t="s">
        <v>38</v>
      </c>
      <c r="J6" s="9">
        <f>AVERAGEIF(B4:B303,"Facebook",C4:C303)</f>
        <v>12.197289956132552</v>
      </c>
      <c r="K6" s="9"/>
      <c r="L6" s="9"/>
    </row>
    <row r="7" spans="1:12" x14ac:dyDescent="0.25">
      <c r="A7" s="10" t="s">
        <v>240</v>
      </c>
      <c r="B7" s="10" t="s">
        <v>30</v>
      </c>
      <c r="C7" s="11">
        <f>((Posts!F179+Posts!G179+Posts!H179)/Posts!I179)*100</f>
        <v>70.387596899224803</v>
      </c>
      <c r="D7" s="2"/>
      <c r="E7" s="2"/>
      <c r="F7" s="2"/>
      <c r="G7" s="2"/>
      <c r="I7" s="9" t="s">
        <v>25</v>
      </c>
      <c r="J7" s="9">
        <f>AVERAGEIF(B4:B303,"YouTube",C4:C303)</f>
        <v>13.118493770753801</v>
      </c>
      <c r="K7" s="9"/>
      <c r="L7" s="9"/>
    </row>
    <row r="8" spans="1:12" x14ac:dyDescent="0.25">
      <c r="A8" s="10" t="s">
        <v>237</v>
      </c>
      <c r="B8" s="10" t="s">
        <v>30</v>
      </c>
      <c r="C8" s="11">
        <f>((Posts!F176+Posts!G176+Posts!H176)/Posts!I176)*100</f>
        <v>65.082159624413151</v>
      </c>
      <c r="D8" s="2"/>
      <c r="E8" s="2"/>
      <c r="F8" s="2"/>
      <c r="G8" s="2"/>
    </row>
    <row r="9" spans="1:12" x14ac:dyDescent="0.25">
      <c r="A9" s="10" t="s">
        <v>119</v>
      </c>
      <c r="B9" s="10" t="s">
        <v>14</v>
      </c>
      <c r="C9" s="11">
        <f>((Posts!F63+Posts!G63+Posts!H63)/Posts!I63)*100</f>
        <v>53.773584905660378</v>
      </c>
      <c r="D9" s="2"/>
      <c r="E9" s="2"/>
      <c r="F9" s="2"/>
      <c r="G9" s="2"/>
    </row>
    <row r="10" spans="1:12" x14ac:dyDescent="0.25">
      <c r="A10" s="10" t="s">
        <v>332</v>
      </c>
      <c r="B10" s="10" t="s">
        <v>14</v>
      </c>
      <c r="C10" s="11">
        <f>((Posts!F265+Posts!G265+Posts!H265)/Posts!I265)*100</f>
        <v>53.389830508474581</v>
      </c>
      <c r="D10" s="2"/>
      <c r="E10" s="2"/>
      <c r="F10" s="2"/>
      <c r="G10" s="2"/>
    </row>
    <row r="11" spans="1:12" x14ac:dyDescent="0.25">
      <c r="A11" s="10" t="s">
        <v>204</v>
      </c>
      <c r="B11" s="10" t="s">
        <v>25</v>
      </c>
      <c r="C11" s="11">
        <f>((Posts!F144+Posts!G144+Posts!H144)/Posts!I144)*100</f>
        <v>50.192307692307693</v>
      </c>
      <c r="D11" s="2"/>
      <c r="E11" s="2"/>
      <c r="F11" s="2"/>
      <c r="G11" s="2"/>
    </row>
    <row r="12" spans="1:12" x14ac:dyDescent="0.25">
      <c r="A12" s="10" t="s">
        <v>273</v>
      </c>
      <c r="B12" s="10" t="s">
        <v>25</v>
      </c>
      <c r="C12" s="11">
        <f>((Posts!F211+Posts!G211+Posts!H211)/Posts!I211)*100</f>
        <v>48.518407662376532</v>
      </c>
      <c r="D12" s="2"/>
      <c r="E12" s="2"/>
      <c r="F12" s="2"/>
      <c r="G12" s="2"/>
    </row>
    <row r="13" spans="1:12" x14ac:dyDescent="0.25">
      <c r="A13" s="10" t="s">
        <v>127</v>
      </c>
      <c r="B13" s="10" t="s">
        <v>38</v>
      </c>
      <c r="C13" s="11">
        <f>((Posts!F71+Posts!G71+Posts!H71)/Posts!I71)*100</f>
        <v>38.274706867671696</v>
      </c>
      <c r="D13" s="2"/>
      <c r="E13" s="2"/>
      <c r="F13" s="2"/>
      <c r="G13" s="2"/>
    </row>
    <row r="14" spans="1:12" x14ac:dyDescent="0.25">
      <c r="A14" s="2" t="s">
        <v>277</v>
      </c>
      <c r="B14" s="2" t="s">
        <v>30</v>
      </c>
      <c r="C14" s="8">
        <f>((Posts!F215+Posts!G215+Posts!H215)/Posts!I215)*100</f>
        <v>37.955854126679462</v>
      </c>
      <c r="D14" s="2"/>
      <c r="E14" s="2"/>
      <c r="F14" s="2"/>
      <c r="G14" s="2"/>
    </row>
    <row r="15" spans="1:12" x14ac:dyDescent="0.25">
      <c r="A15" s="2" t="s">
        <v>108</v>
      </c>
      <c r="B15" s="2" t="s">
        <v>25</v>
      </c>
      <c r="C15" s="8">
        <f>((Posts!F54+Posts!G54+Posts!H54)/Posts!I54)*100</f>
        <v>36.965174129353237</v>
      </c>
      <c r="D15" s="2"/>
      <c r="E15" s="2"/>
      <c r="F15" s="2"/>
      <c r="G15" s="2"/>
    </row>
    <row r="16" spans="1:12" x14ac:dyDescent="0.25">
      <c r="A16" s="2" t="s">
        <v>162</v>
      </c>
      <c r="B16" s="2" t="s">
        <v>14</v>
      </c>
      <c r="C16" s="8">
        <f>((Posts!F103+Posts!G103+Posts!H103)/Posts!I103)*100</f>
        <v>35.666666666666671</v>
      </c>
      <c r="D16" s="2"/>
      <c r="E16" s="2"/>
      <c r="F16" s="2"/>
      <c r="G16" s="2"/>
    </row>
    <row r="17" spans="1:7" x14ac:dyDescent="0.25">
      <c r="A17" s="2" t="s">
        <v>184</v>
      </c>
      <c r="B17" s="2" t="s">
        <v>25</v>
      </c>
      <c r="C17" s="8">
        <f>((Posts!F125+Posts!G125+Posts!H125)/Posts!I125)*100</f>
        <v>33.618012422360252</v>
      </c>
      <c r="D17" s="2"/>
      <c r="E17" s="2"/>
      <c r="F17" s="2"/>
      <c r="G17" s="2"/>
    </row>
    <row r="18" spans="1:7" x14ac:dyDescent="0.25">
      <c r="A18" s="2" t="s">
        <v>181</v>
      </c>
      <c r="B18" s="2" t="s">
        <v>30</v>
      </c>
      <c r="C18" s="8">
        <f>((Posts!F122+Posts!G122+Posts!H122)/Posts!I122)*100</f>
        <v>32.349397590361448</v>
      </c>
      <c r="D18" s="2"/>
      <c r="E18" s="2"/>
      <c r="F18" s="2"/>
      <c r="G18" s="2"/>
    </row>
    <row r="19" spans="1:7" x14ac:dyDescent="0.25">
      <c r="A19" s="2" t="s">
        <v>288</v>
      </c>
      <c r="B19" s="2" t="s">
        <v>38</v>
      </c>
      <c r="C19" s="8">
        <f>((Posts!F225+Posts!G225+Posts!H225)/Posts!I225)*100</f>
        <v>32.083531086853348</v>
      </c>
      <c r="D19" s="2"/>
      <c r="E19" s="2"/>
      <c r="F19" s="2"/>
      <c r="G19" s="2"/>
    </row>
    <row r="20" spans="1:7" x14ac:dyDescent="0.25">
      <c r="A20" s="2" t="s">
        <v>216</v>
      </c>
      <c r="B20" s="2" t="s">
        <v>30</v>
      </c>
      <c r="C20" s="8">
        <f>((Posts!F155+Posts!G155+Posts!H155)/Posts!I155)*100</f>
        <v>31.965192168237856</v>
      </c>
      <c r="D20" s="2"/>
      <c r="E20" s="2"/>
      <c r="F20" s="2"/>
      <c r="G20" s="2"/>
    </row>
    <row r="21" spans="1:7" x14ac:dyDescent="0.25">
      <c r="A21" s="2" t="s">
        <v>179</v>
      </c>
      <c r="B21" s="2" t="s">
        <v>30</v>
      </c>
      <c r="C21" s="8">
        <f>((Posts!F120+Posts!G120+Posts!H120)/Posts!I120)*100</f>
        <v>31.705583756345177</v>
      </c>
      <c r="D21" s="2"/>
      <c r="E21" s="2"/>
      <c r="F21" s="2"/>
      <c r="G21" s="2"/>
    </row>
    <row r="22" spans="1:7" x14ac:dyDescent="0.25">
      <c r="A22" s="2" t="s">
        <v>355</v>
      </c>
      <c r="B22" s="2" t="s">
        <v>30</v>
      </c>
      <c r="C22" s="8">
        <f>((Posts!F288+Posts!G288+Posts!H288)/Posts!I288)*100</f>
        <v>30.126002290950744</v>
      </c>
      <c r="D22" s="2"/>
      <c r="E22" s="2"/>
      <c r="F22" s="2"/>
      <c r="G22" s="2"/>
    </row>
    <row r="23" spans="1:7" x14ac:dyDescent="0.25">
      <c r="A23" s="2" t="s">
        <v>266</v>
      </c>
      <c r="B23" s="2" t="s">
        <v>30</v>
      </c>
      <c r="C23" s="8">
        <f>((Posts!F205+Posts!G205+Posts!H205)/Posts!I205)*100</f>
        <v>29.713518352730528</v>
      </c>
      <c r="D23" s="2"/>
      <c r="E23" s="2"/>
      <c r="F23" s="2"/>
      <c r="G23" s="2"/>
    </row>
    <row r="24" spans="1:7" x14ac:dyDescent="0.25">
      <c r="A24" s="2" t="s">
        <v>123</v>
      </c>
      <c r="B24" s="2" t="s">
        <v>14</v>
      </c>
      <c r="C24" s="8">
        <f>((Posts!F67+Posts!G67+Posts!H67)/Posts!I67)*100</f>
        <v>29.199735449735449</v>
      </c>
      <c r="D24" s="2"/>
      <c r="E24" s="2"/>
      <c r="F24" s="2"/>
      <c r="G24" s="2"/>
    </row>
    <row r="25" spans="1:7" x14ac:dyDescent="0.25">
      <c r="A25" s="2" t="s">
        <v>245</v>
      </c>
      <c r="B25" s="2" t="s">
        <v>30</v>
      </c>
      <c r="C25" s="8">
        <f>((Posts!F184+Posts!G184+Posts!H184)/Posts!I184)*100</f>
        <v>28.696581196581196</v>
      </c>
      <c r="D25" s="2"/>
      <c r="E25" s="2"/>
      <c r="F25" s="2"/>
      <c r="G25" s="2"/>
    </row>
    <row r="26" spans="1:7" x14ac:dyDescent="0.25">
      <c r="A26" s="2" t="s">
        <v>81</v>
      </c>
      <c r="B26" s="2" t="s">
        <v>30</v>
      </c>
      <c r="C26" s="8">
        <f>((Posts!F32+Posts!G32+Posts!H32)/Posts!I32)*100</f>
        <v>28.245270711024133</v>
      </c>
      <c r="D26" s="2"/>
      <c r="E26" s="2"/>
      <c r="F26" s="2"/>
      <c r="G26" s="2"/>
    </row>
    <row r="27" spans="1:7" x14ac:dyDescent="0.25">
      <c r="A27" s="2" t="s">
        <v>153</v>
      </c>
      <c r="B27" s="2" t="s">
        <v>30</v>
      </c>
      <c r="C27" s="8">
        <f>((Posts!F94+Posts!G94+Posts!H94)/Posts!I94)*100</f>
        <v>28.045655718611695</v>
      </c>
      <c r="D27" s="2"/>
      <c r="E27" s="2"/>
      <c r="F27" s="2"/>
      <c r="G27" s="2"/>
    </row>
    <row r="28" spans="1:7" x14ac:dyDescent="0.25">
      <c r="A28" s="2" t="s">
        <v>331</v>
      </c>
      <c r="B28" s="2" t="s">
        <v>30</v>
      </c>
      <c r="C28" s="8">
        <f>((Posts!F264+Posts!G264+Posts!H264)/Posts!I264)*100</f>
        <v>26.876680752977332</v>
      </c>
      <c r="D28" s="2"/>
      <c r="E28" s="2"/>
      <c r="F28" s="2"/>
      <c r="G28" s="2"/>
    </row>
    <row r="29" spans="1:7" x14ac:dyDescent="0.25">
      <c r="A29" s="2" t="s">
        <v>314</v>
      </c>
      <c r="B29" s="2" t="s">
        <v>38</v>
      </c>
      <c r="C29" s="8">
        <f>((Posts!F249+Posts!G249+Posts!H249)/Posts!I249)*100</f>
        <v>26.297968397291193</v>
      </c>
      <c r="D29" s="2"/>
      <c r="E29" s="2"/>
      <c r="F29" s="2"/>
      <c r="G29" s="2"/>
    </row>
    <row r="30" spans="1:7" x14ac:dyDescent="0.25">
      <c r="A30" s="2" t="s">
        <v>309</v>
      </c>
      <c r="B30" s="2" t="s">
        <v>25</v>
      </c>
      <c r="C30" s="8">
        <f>((Posts!F245+Posts!G245+Posts!H245)/Posts!I245)*100</f>
        <v>25.869984981763572</v>
      </c>
      <c r="D30" s="2"/>
      <c r="E30" s="2"/>
      <c r="F30" s="2"/>
      <c r="G30" s="2"/>
    </row>
    <row r="31" spans="1:7" x14ac:dyDescent="0.25">
      <c r="A31" s="2" t="s">
        <v>326</v>
      </c>
      <c r="B31" s="2" t="s">
        <v>38</v>
      </c>
      <c r="C31" s="8">
        <f>((Posts!F260+Posts!G260+Posts!H260)/Posts!I260)*100</f>
        <v>25.771055753262157</v>
      </c>
      <c r="D31" s="2"/>
      <c r="E31" s="2"/>
      <c r="F31" s="2"/>
      <c r="G31" s="2"/>
    </row>
    <row r="32" spans="1:7" x14ac:dyDescent="0.25">
      <c r="A32" s="2" t="s">
        <v>282</v>
      </c>
      <c r="B32" s="2" t="s">
        <v>14</v>
      </c>
      <c r="C32" s="8">
        <f>((Posts!F220+Posts!G220+Posts!H220)/Posts!I220)*100</f>
        <v>25.701459034792368</v>
      </c>
      <c r="D32" s="2"/>
      <c r="E32" s="2"/>
      <c r="F32" s="2"/>
      <c r="G32" s="2"/>
    </row>
    <row r="33" spans="1:7" x14ac:dyDescent="0.25">
      <c r="A33" s="2" t="s">
        <v>290</v>
      </c>
      <c r="B33" s="2" t="s">
        <v>30</v>
      </c>
      <c r="C33" s="8">
        <f>((Posts!F227+Posts!G227+Posts!H227)/Posts!I227)*100</f>
        <v>25.537047673750717</v>
      </c>
      <c r="D33" s="2"/>
      <c r="E33" s="2"/>
      <c r="F33" s="2"/>
      <c r="G33" s="2"/>
    </row>
    <row r="34" spans="1:7" x14ac:dyDescent="0.25">
      <c r="A34" s="2" t="s">
        <v>333</v>
      </c>
      <c r="B34" s="2" t="s">
        <v>14</v>
      </c>
      <c r="C34" s="8">
        <f>((Posts!F266+Posts!G266+Posts!H266)/Posts!I266)*100</f>
        <v>25.279701651571656</v>
      </c>
      <c r="D34" s="2"/>
      <c r="E34" s="2"/>
      <c r="F34" s="2"/>
      <c r="G34" s="2"/>
    </row>
    <row r="35" spans="1:7" x14ac:dyDescent="0.25">
      <c r="A35" s="2" t="s">
        <v>304</v>
      </c>
      <c r="B35" s="2" t="s">
        <v>25</v>
      </c>
      <c r="C35" s="8">
        <f>((Posts!F240+Posts!G240+Posts!H240)/Posts!I240)*100</f>
        <v>25.062082139446034</v>
      </c>
      <c r="D35" s="2"/>
      <c r="E35" s="2"/>
      <c r="F35" s="2"/>
      <c r="G35" s="2"/>
    </row>
    <row r="36" spans="1:7" x14ac:dyDescent="0.25">
      <c r="A36" s="2" t="s">
        <v>345</v>
      </c>
      <c r="B36" s="2" t="s">
        <v>38</v>
      </c>
      <c r="C36" s="8">
        <f>((Posts!F278+Posts!G278+Posts!H278)/Posts!I278)*100</f>
        <v>24.76392823418319</v>
      </c>
      <c r="D36" s="2"/>
      <c r="E36" s="2"/>
      <c r="F36" s="2"/>
      <c r="G36" s="2"/>
    </row>
    <row r="37" spans="1:7" x14ac:dyDescent="0.25">
      <c r="A37" s="2" t="s">
        <v>365</v>
      </c>
      <c r="B37" s="2" t="s">
        <v>14</v>
      </c>
      <c r="C37" s="8">
        <f>((Posts!F298+Posts!G298+Posts!H298)/Posts!I298)*100</f>
        <v>24.349030470914126</v>
      </c>
      <c r="D37" s="2"/>
      <c r="E37" s="2"/>
      <c r="F37" s="2"/>
      <c r="G37" s="2"/>
    </row>
    <row r="38" spans="1:7" x14ac:dyDescent="0.25">
      <c r="A38" s="2" t="s">
        <v>243</v>
      </c>
      <c r="B38" s="2" t="s">
        <v>25</v>
      </c>
      <c r="C38" s="8">
        <f>((Posts!F182+Posts!G182+Posts!H182)/Posts!I182)*100</f>
        <v>23.673521198273672</v>
      </c>
      <c r="D38" s="2"/>
      <c r="E38" s="2"/>
      <c r="F38" s="2"/>
      <c r="G38" s="2"/>
    </row>
    <row r="39" spans="1:7" x14ac:dyDescent="0.25">
      <c r="A39" s="2" t="s">
        <v>311</v>
      </c>
      <c r="B39" s="2" t="s">
        <v>38</v>
      </c>
      <c r="C39" s="8">
        <f>((Posts!F247+Posts!G247+Posts!H247)/Posts!I247)*100</f>
        <v>23.65625</v>
      </c>
      <c r="D39" s="2"/>
      <c r="E39" s="2"/>
      <c r="F39" s="2"/>
      <c r="G39" s="2"/>
    </row>
    <row r="40" spans="1:7" x14ac:dyDescent="0.25">
      <c r="A40" s="2" t="s">
        <v>183</v>
      </c>
      <c r="B40" s="2" t="s">
        <v>30</v>
      </c>
      <c r="C40" s="8">
        <f>((Posts!F124+Posts!G124+Posts!H124)/Posts!I124)*100</f>
        <v>23.61677744671098</v>
      </c>
      <c r="D40" s="2"/>
      <c r="E40" s="2"/>
      <c r="F40" s="2"/>
      <c r="G40" s="2"/>
    </row>
    <row r="41" spans="1:7" x14ac:dyDescent="0.25">
      <c r="A41" s="2" t="s">
        <v>180</v>
      </c>
      <c r="B41" s="2" t="s">
        <v>38</v>
      </c>
      <c r="C41" s="8">
        <f>((Posts!F121+Posts!G121+Posts!H121)/Posts!I121)*100</f>
        <v>23.414918414918414</v>
      </c>
      <c r="D41" s="2"/>
      <c r="E41" s="2"/>
      <c r="F41" s="2"/>
      <c r="G41" s="2"/>
    </row>
    <row r="42" spans="1:7" x14ac:dyDescent="0.25">
      <c r="A42" s="2" t="s">
        <v>202</v>
      </c>
      <c r="B42" s="2" t="s">
        <v>14</v>
      </c>
      <c r="C42" s="8">
        <f>((Posts!F142+Posts!G142+Posts!H142)/Posts!I142)*100</f>
        <v>23.16508937960042</v>
      </c>
      <c r="D42" s="2"/>
      <c r="E42" s="2"/>
      <c r="F42" s="2"/>
      <c r="G42" s="2"/>
    </row>
    <row r="43" spans="1:7" x14ac:dyDescent="0.25">
      <c r="A43" s="2" t="s">
        <v>225</v>
      </c>
      <c r="B43" s="2" t="s">
        <v>30</v>
      </c>
      <c r="C43" s="8">
        <f>((Posts!F164+Posts!G164+Posts!H164)/Posts!I164)*100</f>
        <v>23.101532992668297</v>
      </c>
      <c r="D43" s="2"/>
      <c r="E43" s="2"/>
      <c r="F43" s="2"/>
      <c r="G43" s="2"/>
    </row>
    <row r="44" spans="1:7" x14ac:dyDescent="0.25">
      <c r="A44" s="2" t="s">
        <v>337</v>
      </c>
      <c r="B44" s="2" t="s">
        <v>30</v>
      </c>
      <c r="C44" s="8">
        <f>((Posts!F270+Posts!G270+Posts!H270)/Posts!I270)*100</f>
        <v>22.157421618066213</v>
      </c>
      <c r="D44" s="2"/>
      <c r="E44" s="2"/>
      <c r="F44" s="2"/>
      <c r="G44" s="2"/>
    </row>
    <row r="45" spans="1:7" x14ac:dyDescent="0.25">
      <c r="A45" s="2" t="s">
        <v>94</v>
      </c>
      <c r="B45" s="2" t="s">
        <v>25</v>
      </c>
      <c r="C45" s="8">
        <f>((Posts!F43+Posts!G43+Posts!H43)/Posts!I43)*100</f>
        <v>21.840570317563188</v>
      </c>
      <c r="D45" s="2"/>
      <c r="E45" s="2"/>
      <c r="F45" s="2"/>
      <c r="G45" s="2"/>
    </row>
    <row r="46" spans="1:7" x14ac:dyDescent="0.25">
      <c r="A46" s="2" t="s">
        <v>95</v>
      </c>
      <c r="B46" s="2" t="s">
        <v>30</v>
      </c>
      <c r="C46" s="8">
        <f>((Posts!F44+Posts!G44+Posts!H44)/Posts!I44)*100</f>
        <v>21.826126954921804</v>
      </c>
      <c r="D46" s="2"/>
      <c r="E46" s="2"/>
      <c r="F46" s="2"/>
      <c r="G46" s="2"/>
    </row>
    <row r="47" spans="1:7" x14ac:dyDescent="0.25">
      <c r="A47" s="2" t="s">
        <v>221</v>
      </c>
      <c r="B47" s="2" t="s">
        <v>38</v>
      </c>
      <c r="C47" s="8">
        <f>((Posts!F160+Posts!G160+Posts!H160)/Posts!I160)*100</f>
        <v>21.745283018867926</v>
      </c>
      <c r="D47" s="2"/>
      <c r="E47" s="2"/>
      <c r="F47" s="2"/>
      <c r="G47" s="2"/>
    </row>
    <row r="48" spans="1:7" x14ac:dyDescent="0.25">
      <c r="A48" s="2" t="s">
        <v>207</v>
      </c>
      <c r="B48" s="2" t="s">
        <v>25</v>
      </c>
      <c r="C48" s="8">
        <f>((Posts!F147+Posts!G147+Posts!H147)/Posts!I147)*100</f>
        <v>21.636759108210985</v>
      </c>
      <c r="D48" s="2"/>
      <c r="E48" s="2"/>
      <c r="F48" s="2"/>
      <c r="G48" s="2"/>
    </row>
    <row r="49" spans="1:7" x14ac:dyDescent="0.25">
      <c r="A49" s="2" t="s">
        <v>79</v>
      </c>
      <c r="B49" s="2" t="s">
        <v>30</v>
      </c>
      <c r="C49" s="8">
        <f>((Posts!F30+Posts!G30+Posts!H30)/Posts!I30)*100</f>
        <v>21.208106001558846</v>
      </c>
      <c r="D49" s="2"/>
      <c r="E49" s="2"/>
      <c r="F49" s="2"/>
      <c r="G49" s="2"/>
    </row>
    <row r="50" spans="1:7" x14ac:dyDescent="0.25">
      <c r="A50" s="2" t="s">
        <v>197</v>
      </c>
      <c r="B50" s="2" t="s">
        <v>38</v>
      </c>
      <c r="C50" s="8">
        <f>((Posts!F138+Posts!G138+Posts!H138)/Posts!I138)*100</f>
        <v>20.871010638297872</v>
      </c>
      <c r="D50" s="2"/>
      <c r="E50" s="2"/>
      <c r="F50" s="2"/>
      <c r="G50" s="2"/>
    </row>
    <row r="51" spans="1:7" x14ac:dyDescent="0.25">
      <c r="A51" s="2" t="s">
        <v>147</v>
      </c>
      <c r="B51" s="2" t="s">
        <v>14</v>
      </c>
      <c r="C51" s="8">
        <f>((Posts!F88+Posts!G88+Posts!H88)/Posts!I88)*100</f>
        <v>20.868152274837513</v>
      </c>
      <c r="D51" s="2"/>
      <c r="E51" s="2"/>
      <c r="F51" s="2"/>
      <c r="G51" s="2"/>
    </row>
    <row r="52" spans="1:7" x14ac:dyDescent="0.25">
      <c r="A52" s="2" t="s">
        <v>339</v>
      </c>
      <c r="B52" s="2" t="s">
        <v>30</v>
      </c>
      <c r="C52" s="8">
        <f>((Posts!F272+Posts!G272+Posts!H272)/Posts!I272)*100</f>
        <v>20.675990675990676</v>
      </c>
      <c r="D52" s="2"/>
      <c r="E52" s="2"/>
      <c r="F52" s="2"/>
      <c r="G52" s="2"/>
    </row>
    <row r="53" spans="1:7" x14ac:dyDescent="0.25">
      <c r="A53" s="2" t="s">
        <v>134</v>
      </c>
      <c r="B53" s="2" t="s">
        <v>38</v>
      </c>
      <c r="C53" s="8">
        <f>((Posts!F78+Posts!G78+Posts!H78)/Posts!I78)*100</f>
        <v>20.416333066453163</v>
      </c>
      <c r="D53" s="2"/>
      <c r="E53" s="2"/>
      <c r="F53" s="2"/>
      <c r="G53" s="2"/>
    </row>
    <row r="54" spans="1:7" x14ac:dyDescent="0.25">
      <c r="A54" s="2" t="s">
        <v>196</v>
      </c>
      <c r="B54" s="2" t="s">
        <v>30</v>
      </c>
      <c r="C54" s="8">
        <f>((Posts!F137+Posts!G137+Posts!H137)/Posts!I137)*100</f>
        <v>20.357370772176132</v>
      </c>
      <c r="D54" s="2"/>
      <c r="E54" s="2"/>
      <c r="F54" s="2"/>
      <c r="G54" s="2"/>
    </row>
    <row r="55" spans="1:7" x14ac:dyDescent="0.25">
      <c r="A55" s="2" t="s">
        <v>325</v>
      </c>
      <c r="B55" s="2" t="s">
        <v>30</v>
      </c>
      <c r="C55" s="8">
        <f>((Posts!F259+Posts!G259+Posts!H259)/Posts!I259)*100</f>
        <v>20.230491530130521</v>
      </c>
      <c r="D55" s="2"/>
      <c r="E55" s="2"/>
      <c r="F55" s="2"/>
      <c r="G55" s="2"/>
    </row>
    <row r="56" spans="1:7" x14ac:dyDescent="0.25">
      <c r="A56" s="2" t="s">
        <v>344</v>
      </c>
      <c r="B56" s="2" t="s">
        <v>14</v>
      </c>
      <c r="C56" s="8">
        <f>((Posts!F277+Posts!G277+Posts!H277)/Posts!I277)*100</f>
        <v>20.158526135389891</v>
      </c>
      <c r="D56" s="2"/>
      <c r="E56" s="2"/>
      <c r="F56" s="2"/>
      <c r="G56" s="2"/>
    </row>
    <row r="57" spans="1:7" x14ac:dyDescent="0.25">
      <c r="A57" s="2" t="s">
        <v>210</v>
      </c>
      <c r="B57" s="2" t="s">
        <v>30</v>
      </c>
      <c r="C57" s="8">
        <f>((Posts!F149+Posts!G149+Posts!H149)/Posts!I149)*100</f>
        <v>19.864505202032422</v>
      </c>
      <c r="D57" s="2"/>
      <c r="E57" s="2"/>
      <c r="F57" s="2"/>
      <c r="G57" s="2"/>
    </row>
    <row r="58" spans="1:7" x14ac:dyDescent="0.25">
      <c r="A58" s="2" t="s">
        <v>260</v>
      </c>
      <c r="B58" s="2" t="s">
        <v>14</v>
      </c>
      <c r="C58" s="8">
        <f>((Posts!F199+Posts!G199+Posts!H199)/Posts!I199)*100</f>
        <v>19.847328244274809</v>
      </c>
      <c r="D58" s="2"/>
      <c r="E58" s="2"/>
      <c r="F58" s="2"/>
      <c r="G58" s="2"/>
    </row>
    <row r="59" spans="1:7" x14ac:dyDescent="0.25">
      <c r="A59" s="2" t="s">
        <v>214</v>
      </c>
      <c r="B59" s="2" t="s">
        <v>38</v>
      </c>
      <c r="C59" s="8">
        <f>((Posts!F153+Posts!G153+Posts!H153)/Posts!I153)*100</f>
        <v>19.511518179295031</v>
      </c>
      <c r="D59" s="2"/>
      <c r="E59" s="2"/>
      <c r="F59" s="2"/>
      <c r="G59" s="2"/>
    </row>
    <row r="60" spans="1:7" x14ac:dyDescent="0.25">
      <c r="A60" s="2" t="s">
        <v>354</v>
      </c>
      <c r="B60" s="2" t="s">
        <v>25</v>
      </c>
      <c r="C60" s="8">
        <f>((Posts!F287+Posts!G287+Posts!H287)/Posts!I287)*100</f>
        <v>19.484607062063539</v>
      </c>
      <c r="D60" s="2"/>
      <c r="E60" s="2"/>
      <c r="F60" s="2"/>
      <c r="G60" s="2"/>
    </row>
    <row r="61" spans="1:7" x14ac:dyDescent="0.25">
      <c r="A61" s="2" t="s">
        <v>125</v>
      </c>
      <c r="B61" s="2" t="s">
        <v>30</v>
      </c>
      <c r="C61" s="8">
        <f>((Posts!F69+Posts!G69+Posts!H69)/Posts!I69)*100</f>
        <v>19.310344827586206</v>
      </c>
      <c r="D61" s="2"/>
      <c r="E61" s="2"/>
      <c r="F61" s="2"/>
      <c r="G61" s="2"/>
    </row>
    <row r="62" spans="1:7" x14ac:dyDescent="0.25">
      <c r="A62" s="2" t="s">
        <v>145</v>
      </c>
      <c r="B62" s="2" t="s">
        <v>30</v>
      </c>
      <c r="C62" s="8">
        <f>((Posts!F86+Posts!G86+Posts!H86)/Posts!I86)*100</f>
        <v>19.156491900087783</v>
      </c>
      <c r="D62" s="2"/>
      <c r="E62" s="2"/>
      <c r="F62" s="2"/>
      <c r="G62" s="2"/>
    </row>
    <row r="63" spans="1:7" x14ac:dyDescent="0.25">
      <c r="A63" s="2" t="s">
        <v>83</v>
      </c>
      <c r="B63" s="2" t="s">
        <v>14</v>
      </c>
      <c r="C63" s="8">
        <f>((Posts!F33+Posts!G33+Posts!H33)/Posts!I33)*100</f>
        <v>19.088381621305238</v>
      </c>
      <c r="D63" s="2"/>
      <c r="E63" s="2"/>
      <c r="F63" s="2"/>
      <c r="G63" s="2"/>
    </row>
    <row r="64" spans="1:7" x14ac:dyDescent="0.25">
      <c r="A64" s="2" t="s">
        <v>281</v>
      </c>
      <c r="B64" s="2" t="s">
        <v>38</v>
      </c>
      <c r="C64" s="8">
        <f>((Posts!F219+Posts!G219+Posts!H219)/Posts!I219)*100</f>
        <v>18.806848582129483</v>
      </c>
      <c r="D64" s="2"/>
      <c r="E64" s="2"/>
      <c r="F64" s="2"/>
      <c r="G64" s="2"/>
    </row>
    <row r="65" spans="1:7" x14ac:dyDescent="0.25">
      <c r="A65" s="2" t="s">
        <v>274</v>
      </c>
      <c r="B65" s="2" t="s">
        <v>14</v>
      </c>
      <c r="C65" s="8">
        <f>((Posts!F212+Posts!G212+Posts!H212)/Posts!I212)*100</f>
        <v>18.632075471698112</v>
      </c>
      <c r="D65" s="2"/>
      <c r="E65" s="2"/>
      <c r="F65" s="2"/>
      <c r="G65" s="2"/>
    </row>
    <row r="66" spans="1:7" x14ac:dyDescent="0.25">
      <c r="A66" s="2" t="s">
        <v>307</v>
      </c>
      <c r="B66" s="2" t="s">
        <v>38</v>
      </c>
      <c r="C66" s="8">
        <f>((Posts!F243+Posts!G243+Posts!H243)/Posts!I243)*100</f>
        <v>18.519683938186141</v>
      </c>
      <c r="D66" s="2"/>
      <c r="E66" s="2"/>
      <c r="F66" s="2"/>
      <c r="G66" s="2"/>
    </row>
    <row r="67" spans="1:7" x14ac:dyDescent="0.25">
      <c r="A67" s="2" t="s">
        <v>93</v>
      </c>
      <c r="B67" s="2" t="s">
        <v>30</v>
      </c>
      <c r="C67" s="8">
        <f>((Posts!F42+Posts!G42+Posts!H42)/Posts!I42)*100</f>
        <v>18.433235867446392</v>
      </c>
      <c r="D67" s="2"/>
      <c r="E67" s="2"/>
      <c r="F67" s="2"/>
      <c r="G67" s="2"/>
    </row>
    <row r="68" spans="1:7" x14ac:dyDescent="0.25">
      <c r="A68" s="2" t="s">
        <v>362</v>
      </c>
      <c r="B68" s="2" t="s">
        <v>38</v>
      </c>
      <c r="C68" s="8">
        <f>((Posts!F295+Posts!G295+Posts!H295)/Posts!I295)*100</f>
        <v>18.248432325794404</v>
      </c>
      <c r="D68" s="2"/>
      <c r="E68" s="2"/>
      <c r="F68" s="2"/>
      <c r="G68" s="2"/>
    </row>
    <row r="69" spans="1:7" x14ac:dyDescent="0.25">
      <c r="A69" s="2" t="s">
        <v>37</v>
      </c>
      <c r="B69" s="2" t="s">
        <v>38</v>
      </c>
      <c r="C69" s="8">
        <f>((Posts!F7+Posts!G7+Posts!H7)/Posts!I7)*100</f>
        <v>17.954159592529713</v>
      </c>
      <c r="D69" s="2"/>
      <c r="E69" s="2"/>
      <c r="F69" s="2"/>
      <c r="G69" s="2"/>
    </row>
    <row r="70" spans="1:7" x14ac:dyDescent="0.25">
      <c r="A70" s="2" t="s">
        <v>215</v>
      </c>
      <c r="B70" s="2" t="s">
        <v>14</v>
      </c>
      <c r="C70" s="8">
        <f>((Posts!F154+Posts!G154+Posts!H154)/Posts!I154)*100</f>
        <v>17.801355732390213</v>
      </c>
      <c r="D70" s="2"/>
      <c r="E70" s="2"/>
      <c r="F70" s="2"/>
      <c r="G70" s="2"/>
    </row>
    <row r="71" spans="1:7" x14ac:dyDescent="0.25">
      <c r="A71" s="2" t="s">
        <v>88</v>
      </c>
      <c r="B71" s="2" t="s">
        <v>38</v>
      </c>
      <c r="C71" s="8">
        <f>((Posts!F38+Posts!G38+Posts!H38)/Posts!I38)*100</f>
        <v>17.770337301587304</v>
      </c>
      <c r="D71" s="2"/>
      <c r="E71" s="2"/>
      <c r="F71" s="2"/>
      <c r="G71" s="2"/>
    </row>
    <row r="72" spans="1:7" x14ac:dyDescent="0.25">
      <c r="A72" s="2" t="s">
        <v>306</v>
      </c>
      <c r="B72" s="2" t="s">
        <v>38</v>
      </c>
      <c r="C72" s="8">
        <f>((Posts!F242+Posts!G242+Posts!H242)/Posts!I242)*100</f>
        <v>17.74390848679208</v>
      </c>
      <c r="D72" s="2"/>
      <c r="E72" s="2"/>
      <c r="F72" s="2"/>
      <c r="G72" s="2"/>
    </row>
    <row r="73" spans="1:7" x14ac:dyDescent="0.25">
      <c r="A73" s="2" t="s">
        <v>172</v>
      </c>
      <c r="B73" s="2" t="s">
        <v>14</v>
      </c>
      <c r="C73" s="8">
        <f>((Posts!F113+Posts!G113+Posts!H113)/Posts!I113)*100</f>
        <v>17.441662408448305</v>
      </c>
      <c r="D73" s="2"/>
      <c r="E73" s="2"/>
      <c r="F73" s="2"/>
      <c r="G73" s="2"/>
    </row>
    <row r="74" spans="1:7" x14ac:dyDescent="0.25">
      <c r="A74" s="2" t="s">
        <v>189</v>
      </c>
      <c r="B74" s="2" t="s">
        <v>14</v>
      </c>
      <c r="C74" s="8">
        <f>((Posts!F130+Posts!G130+Posts!H130)/Posts!I130)*100</f>
        <v>17.291569632044716</v>
      </c>
      <c r="D74" s="2"/>
      <c r="E74" s="2"/>
      <c r="F74" s="2"/>
      <c r="G74" s="2"/>
    </row>
    <row r="75" spans="1:7" x14ac:dyDescent="0.25">
      <c r="A75" s="2" t="s">
        <v>78</v>
      </c>
      <c r="B75" s="2" t="s">
        <v>30</v>
      </c>
      <c r="C75" s="8">
        <f>((Posts!F29+Posts!G29+Posts!H29)/Posts!I29)*100</f>
        <v>17.057291666666664</v>
      </c>
      <c r="D75" s="2"/>
      <c r="E75" s="2"/>
      <c r="F75" s="2"/>
      <c r="G75" s="2"/>
    </row>
    <row r="76" spans="1:7" x14ac:dyDescent="0.25">
      <c r="A76" s="2" t="s">
        <v>98</v>
      </c>
      <c r="B76" s="2" t="s">
        <v>14</v>
      </c>
      <c r="C76" s="8">
        <f>((Posts!F47+Posts!G47+Posts!H47)/Posts!I47)*100</f>
        <v>16.888537906137184</v>
      </c>
      <c r="D76" s="2"/>
      <c r="E76" s="2"/>
      <c r="F76" s="2"/>
      <c r="G76" s="2"/>
    </row>
    <row r="77" spans="1:7" x14ac:dyDescent="0.25">
      <c r="A77" s="2" t="s">
        <v>149</v>
      </c>
      <c r="B77" s="2" t="s">
        <v>14</v>
      </c>
      <c r="C77" s="8">
        <f>((Posts!F90+Posts!G90+Posts!H90)/Posts!I90)*100</f>
        <v>16.873144921925409</v>
      </c>
      <c r="D77" s="2"/>
      <c r="E77" s="2"/>
      <c r="F77" s="2"/>
      <c r="G77" s="2"/>
    </row>
    <row r="78" spans="1:7" x14ac:dyDescent="0.25">
      <c r="A78" s="2" t="s">
        <v>154</v>
      </c>
      <c r="B78" s="2" t="s">
        <v>30</v>
      </c>
      <c r="C78" s="8">
        <f>((Posts!F95+Posts!G95+Posts!H95)/Posts!I95)*100</f>
        <v>16.843866371633656</v>
      </c>
      <c r="D78" s="2"/>
      <c r="E78" s="2"/>
      <c r="F78" s="2"/>
      <c r="G78" s="2"/>
    </row>
    <row r="79" spans="1:7" x14ac:dyDescent="0.25">
      <c r="A79" s="2" t="s">
        <v>176</v>
      </c>
      <c r="B79" s="2" t="s">
        <v>25</v>
      </c>
      <c r="C79" s="8">
        <f>((Posts!F117+Posts!G117+Posts!H117)/Posts!I117)*100</f>
        <v>16.769515581610612</v>
      </c>
      <c r="D79" s="2"/>
      <c r="E79" s="2"/>
      <c r="F79" s="2"/>
      <c r="G79" s="2"/>
    </row>
    <row r="80" spans="1:7" x14ac:dyDescent="0.25">
      <c r="A80" s="2" t="s">
        <v>343</v>
      </c>
      <c r="B80" s="2" t="s">
        <v>38</v>
      </c>
      <c r="C80" s="8">
        <f>((Posts!F276+Posts!G276+Posts!H276)/Posts!I276)*100</f>
        <v>16.754738655944859</v>
      </c>
      <c r="D80" s="2"/>
      <c r="E80" s="2"/>
      <c r="F80" s="2"/>
      <c r="G80" s="2"/>
    </row>
    <row r="81" spans="1:7" x14ac:dyDescent="0.25">
      <c r="A81" s="2" t="s">
        <v>169</v>
      </c>
      <c r="B81" s="2" t="s">
        <v>14</v>
      </c>
      <c r="C81" s="8">
        <f>((Posts!F110+Posts!G110+Posts!H110)/Posts!I110)*100</f>
        <v>16.744313510550835</v>
      </c>
      <c r="D81" s="2"/>
      <c r="E81" s="2"/>
      <c r="F81" s="2"/>
      <c r="G81" s="2"/>
    </row>
    <row r="82" spans="1:7" x14ac:dyDescent="0.25">
      <c r="A82" s="2" t="s">
        <v>100</v>
      </c>
      <c r="B82" s="2" t="s">
        <v>14</v>
      </c>
      <c r="C82" s="8">
        <f>((Posts!F48+Posts!G48+Posts!H48)/Posts!I48)*100</f>
        <v>16.683616863905325</v>
      </c>
      <c r="D82" s="2"/>
      <c r="E82" s="2"/>
      <c r="F82" s="2"/>
      <c r="G82" s="2"/>
    </row>
    <row r="83" spans="1:7" x14ac:dyDescent="0.25">
      <c r="A83" s="2" t="s">
        <v>363</v>
      </c>
      <c r="B83" s="2" t="s">
        <v>14</v>
      </c>
      <c r="C83" s="8">
        <f>((Posts!F296+Posts!G296+Posts!H296)/Posts!I296)*100</f>
        <v>16.540727459016395</v>
      </c>
      <c r="D83" s="2"/>
      <c r="E83" s="2"/>
      <c r="F83" s="2"/>
      <c r="G83" s="2"/>
    </row>
    <row r="84" spans="1:7" x14ac:dyDescent="0.25">
      <c r="A84" s="2" t="s">
        <v>110</v>
      </c>
      <c r="B84" s="2" t="s">
        <v>25</v>
      </c>
      <c r="C84" s="8">
        <f>((Posts!F55+Posts!G55+Posts!H55)/Posts!I55)*100</f>
        <v>16.510298716704412</v>
      </c>
      <c r="D84" s="2"/>
      <c r="E84" s="2"/>
      <c r="F84" s="2"/>
      <c r="G84" s="2"/>
    </row>
    <row r="85" spans="1:7" x14ac:dyDescent="0.25">
      <c r="A85" s="2" t="s">
        <v>116</v>
      </c>
      <c r="B85" s="2" t="s">
        <v>30</v>
      </c>
      <c r="C85" s="8">
        <f>((Posts!F61+Posts!G61+Posts!H61)/Posts!I61)*100</f>
        <v>16.507828454731111</v>
      </c>
      <c r="D85" s="2"/>
      <c r="E85" s="2"/>
      <c r="F85" s="2"/>
      <c r="G85" s="2"/>
    </row>
    <row r="86" spans="1:7" x14ac:dyDescent="0.25">
      <c r="A86" s="2" t="s">
        <v>142</v>
      </c>
      <c r="B86" s="2" t="s">
        <v>25</v>
      </c>
      <c r="C86" s="8">
        <f>((Posts!F84+Posts!G84+Posts!H84)/Posts!I84)*100</f>
        <v>16.118220597196832</v>
      </c>
      <c r="D86" s="2"/>
      <c r="E86" s="2"/>
      <c r="F86" s="2"/>
      <c r="G86" s="2"/>
    </row>
    <row r="87" spans="1:7" x14ac:dyDescent="0.25">
      <c r="A87" s="2" t="s">
        <v>198</v>
      </c>
      <c r="B87" s="2" t="s">
        <v>14</v>
      </c>
      <c r="C87" s="8">
        <f>((Posts!F139+Posts!G139+Posts!H139)/Posts!I139)*100</f>
        <v>16.065573770491802</v>
      </c>
      <c r="D87" s="2"/>
      <c r="E87" s="2"/>
      <c r="F87" s="2"/>
      <c r="G87" s="2"/>
    </row>
    <row r="88" spans="1:7" x14ac:dyDescent="0.25">
      <c r="A88" s="2" t="s">
        <v>284</v>
      </c>
      <c r="B88" s="2" t="s">
        <v>38</v>
      </c>
      <c r="C88" s="8">
        <f>((Posts!F222+Posts!G222+Posts!H222)/Posts!I222)*100</f>
        <v>15.989220750056141</v>
      </c>
      <c r="D88" s="2"/>
      <c r="E88" s="2"/>
      <c r="F88" s="2"/>
      <c r="G88" s="2"/>
    </row>
    <row r="89" spans="1:7" x14ac:dyDescent="0.25">
      <c r="A89" s="2" t="s">
        <v>318</v>
      </c>
      <c r="B89" s="2" t="s">
        <v>38</v>
      </c>
      <c r="C89" s="8">
        <f>((Posts!F253+Posts!G253+Posts!H253)/Posts!I253)*100</f>
        <v>15.761129727142173</v>
      </c>
      <c r="D89" s="2"/>
      <c r="E89" s="2"/>
      <c r="F89" s="2"/>
      <c r="G89" s="2"/>
    </row>
    <row r="90" spans="1:7" x14ac:dyDescent="0.25">
      <c r="A90" s="2" t="s">
        <v>107</v>
      </c>
      <c r="B90" s="2" t="s">
        <v>38</v>
      </c>
      <c r="C90" s="8">
        <f>((Posts!F53+Posts!G53+Posts!H53)/Posts!I53)*100</f>
        <v>15.69549774407219</v>
      </c>
      <c r="D90" s="2"/>
      <c r="E90" s="2"/>
      <c r="F90" s="2"/>
      <c r="G90" s="2"/>
    </row>
    <row r="91" spans="1:7" x14ac:dyDescent="0.25">
      <c r="A91" s="2" t="s">
        <v>200</v>
      </c>
      <c r="B91" s="2" t="s">
        <v>38</v>
      </c>
      <c r="C91" s="8">
        <f>((Posts!F141+Posts!G141+Posts!H141)/Posts!I141)*100</f>
        <v>15.571802706241817</v>
      </c>
      <c r="D91" s="2"/>
      <c r="E91" s="2"/>
      <c r="F91" s="2"/>
      <c r="G91" s="2"/>
    </row>
    <row r="92" spans="1:7" x14ac:dyDescent="0.25">
      <c r="A92" s="2" t="s">
        <v>227</v>
      </c>
      <c r="B92" s="2" t="s">
        <v>14</v>
      </c>
      <c r="C92" s="8">
        <f>((Posts!F166+Posts!G166+Posts!H166)/Posts!I166)*100</f>
        <v>15.405989502933004</v>
      </c>
      <c r="D92" s="2"/>
      <c r="E92" s="2"/>
      <c r="F92" s="2"/>
      <c r="G92" s="2"/>
    </row>
    <row r="93" spans="1:7" x14ac:dyDescent="0.25">
      <c r="A93" s="2" t="s">
        <v>226</v>
      </c>
      <c r="B93" s="2" t="s">
        <v>25</v>
      </c>
      <c r="C93" s="8">
        <f>((Posts!F165+Posts!G165+Posts!H165)/Posts!I165)*100</f>
        <v>15.355188488042156</v>
      </c>
      <c r="D93" s="2"/>
      <c r="E93" s="2"/>
      <c r="F93" s="2"/>
      <c r="G93" s="2"/>
    </row>
    <row r="94" spans="1:7" x14ac:dyDescent="0.25">
      <c r="A94" s="2" t="s">
        <v>330</v>
      </c>
      <c r="B94" s="2" t="s">
        <v>25</v>
      </c>
      <c r="C94" s="8">
        <f>((Posts!F263+Posts!G263+Posts!H263)/Posts!I263)*100</f>
        <v>15.339966832504146</v>
      </c>
      <c r="D94" s="2"/>
      <c r="E94" s="2"/>
      <c r="F94" s="2"/>
      <c r="G94" s="2"/>
    </row>
    <row r="95" spans="1:7" x14ac:dyDescent="0.25">
      <c r="A95" s="2" t="s">
        <v>209</v>
      </c>
      <c r="B95" s="2" t="s">
        <v>30</v>
      </c>
      <c r="C95" s="8">
        <f>((Posts!F148+Posts!G148+Posts!H148)/Posts!I148)*100</f>
        <v>15.283323095823095</v>
      </c>
      <c r="D95" s="2"/>
      <c r="E95" s="2"/>
      <c r="F95" s="2"/>
      <c r="G95" s="2"/>
    </row>
    <row r="96" spans="1:7" x14ac:dyDescent="0.25">
      <c r="A96" s="2" t="s">
        <v>29</v>
      </c>
      <c r="B96" s="2" t="s">
        <v>30</v>
      </c>
      <c r="C96" s="8">
        <f>((Posts!F5+Posts!G5+Posts!H5)/Posts!I5)*100</f>
        <v>15.105033277870216</v>
      </c>
      <c r="D96" s="2"/>
      <c r="E96" s="2"/>
      <c r="F96" s="2"/>
      <c r="G96" s="2"/>
    </row>
    <row r="97" spans="1:7" x14ac:dyDescent="0.25">
      <c r="A97" s="2" t="s">
        <v>56</v>
      </c>
      <c r="B97" s="2" t="s">
        <v>38</v>
      </c>
      <c r="C97" s="8">
        <f>((Posts!F15+Posts!G15+Posts!H15)/Posts!I15)*100</f>
        <v>14.521452145214523</v>
      </c>
      <c r="D97" s="2"/>
      <c r="E97" s="2"/>
      <c r="F97" s="2"/>
      <c r="G97" s="2"/>
    </row>
    <row r="98" spans="1:7" x14ac:dyDescent="0.25">
      <c r="A98" s="2" t="s">
        <v>254</v>
      </c>
      <c r="B98" s="2" t="s">
        <v>30</v>
      </c>
      <c r="C98" s="8">
        <f>((Posts!F193+Posts!G193+Posts!H193)/Posts!I193)*100</f>
        <v>14.413265306122449</v>
      </c>
      <c r="D98" s="2"/>
      <c r="E98" s="2"/>
      <c r="F98" s="2"/>
      <c r="G98" s="2"/>
    </row>
    <row r="99" spans="1:7" x14ac:dyDescent="0.25">
      <c r="A99" s="2" t="s">
        <v>235</v>
      </c>
      <c r="B99" s="2" t="s">
        <v>14</v>
      </c>
      <c r="C99" s="8">
        <f>((Posts!F174+Posts!G174+Posts!H174)/Posts!I174)*100</f>
        <v>14.348370927318296</v>
      </c>
      <c r="D99" s="2"/>
      <c r="E99" s="2"/>
      <c r="F99" s="2"/>
      <c r="G99" s="2"/>
    </row>
    <row r="100" spans="1:7" x14ac:dyDescent="0.25">
      <c r="A100" s="2" t="s">
        <v>228</v>
      </c>
      <c r="B100" s="2" t="s">
        <v>14</v>
      </c>
      <c r="C100" s="8">
        <f>((Posts!F167+Posts!G167+Posts!H167)/Posts!I167)*100</f>
        <v>14.320716458262927</v>
      </c>
      <c r="D100" s="2"/>
      <c r="E100" s="2"/>
      <c r="F100" s="2"/>
      <c r="G100" s="2"/>
    </row>
    <row r="101" spans="1:7" x14ac:dyDescent="0.25">
      <c r="A101" s="2" t="s">
        <v>270</v>
      </c>
      <c r="B101" s="2" t="s">
        <v>14</v>
      </c>
      <c r="C101" s="8">
        <f>((Posts!F208+Posts!G208+Posts!H208)/Posts!I208)*100</f>
        <v>14.316214319138981</v>
      </c>
      <c r="D101" s="2"/>
      <c r="E101" s="2"/>
      <c r="F101" s="2"/>
      <c r="G101" s="2"/>
    </row>
    <row r="102" spans="1:7" x14ac:dyDescent="0.25">
      <c r="A102" s="2" t="s">
        <v>118</v>
      </c>
      <c r="B102" s="2" t="s">
        <v>14</v>
      </c>
      <c r="C102" s="8">
        <f>((Posts!F62+Posts!G62+Posts!H62)/Posts!I62)*100</f>
        <v>14.276618001546368</v>
      </c>
      <c r="D102" s="2"/>
      <c r="E102" s="2"/>
      <c r="F102" s="2"/>
      <c r="G102" s="2"/>
    </row>
    <row r="103" spans="1:7" x14ac:dyDescent="0.25">
      <c r="A103" s="2" t="s">
        <v>185</v>
      </c>
      <c r="B103" s="2" t="s">
        <v>14</v>
      </c>
      <c r="C103" s="8">
        <f>((Posts!F126+Posts!G126+Posts!H126)/Posts!I126)*100</f>
        <v>14.265722032712326</v>
      </c>
      <c r="D103" s="2"/>
      <c r="E103" s="2"/>
      <c r="F103" s="2"/>
      <c r="G103" s="2"/>
    </row>
    <row r="104" spans="1:7" x14ac:dyDescent="0.25">
      <c r="A104" s="2" t="s">
        <v>340</v>
      </c>
      <c r="B104" s="2" t="s">
        <v>30</v>
      </c>
      <c r="C104" s="8">
        <f>((Posts!F273+Posts!G273+Posts!H273)/Posts!I273)*100</f>
        <v>14.220299534507186</v>
      </c>
      <c r="D104" s="2"/>
      <c r="E104" s="2"/>
      <c r="F104" s="2"/>
      <c r="G104" s="2"/>
    </row>
    <row r="105" spans="1:7" x14ac:dyDescent="0.25">
      <c r="A105" s="2" t="s">
        <v>91</v>
      </c>
      <c r="B105" s="2" t="s">
        <v>14</v>
      </c>
      <c r="C105" s="8">
        <f>((Posts!F41+Posts!G41+Posts!H41)/Posts!I41)*100</f>
        <v>13.989473684210527</v>
      </c>
      <c r="D105" s="2"/>
      <c r="E105" s="2"/>
      <c r="F105" s="2"/>
      <c r="G105" s="2"/>
    </row>
    <row r="106" spans="1:7" x14ac:dyDescent="0.25">
      <c r="A106" s="2" t="s">
        <v>367</v>
      </c>
      <c r="B106" s="2" t="s">
        <v>38</v>
      </c>
      <c r="C106" s="8">
        <f>((Posts!F300+Posts!G300+Posts!H300)/Posts!I300)*100</f>
        <v>13.840458048129491</v>
      </c>
      <c r="D106" s="2"/>
      <c r="E106" s="2"/>
      <c r="F106" s="2"/>
      <c r="G106" s="2"/>
    </row>
    <row r="107" spans="1:7" x14ac:dyDescent="0.25">
      <c r="A107" s="2" t="s">
        <v>236</v>
      </c>
      <c r="B107" s="2" t="s">
        <v>38</v>
      </c>
      <c r="C107" s="8">
        <f>((Posts!F175+Posts!G175+Posts!H175)/Posts!I175)*100</f>
        <v>13.809430512016718</v>
      </c>
      <c r="D107" s="2"/>
      <c r="E107" s="2"/>
      <c r="F107" s="2"/>
      <c r="G107" s="2"/>
    </row>
    <row r="108" spans="1:7" x14ac:dyDescent="0.25">
      <c r="A108" s="2" t="s">
        <v>164</v>
      </c>
      <c r="B108" s="2" t="s">
        <v>25</v>
      </c>
      <c r="C108" s="8">
        <f>((Posts!F105+Posts!G105+Posts!H105)/Posts!I105)*100</f>
        <v>13.707250341997264</v>
      </c>
      <c r="D108" s="2"/>
      <c r="E108" s="2"/>
      <c r="F108" s="2"/>
      <c r="G108" s="2"/>
    </row>
    <row r="109" spans="1:7" x14ac:dyDescent="0.25">
      <c r="A109" s="2" t="s">
        <v>257</v>
      </c>
      <c r="B109" s="2" t="s">
        <v>30</v>
      </c>
      <c r="C109" s="8">
        <f>((Posts!F196+Posts!G196+Posts!H196)/Posts!I196)*100</f>
        <v>13.667732704931829</v>
      </c>
      <c r="D109" s="2"/>
      <c r="E109" s="2"/>
      <c r="F109" s="2"/>
      <c r="G109" s="2"/>
    </row>
    <row r="110" spans="1:7" x14ac:dyDescent="0.25">
      <c r="A110" s="2" t="s">
        <v>246</v>
      </c>
      <c r="B110" s="2" t="s">
        <v>14</v>
      </c>
      <c r="C110" s="8">
        <f>((Posts!F185+Posts!G185+Posts!H185)/Posts!I185)*100</f>
        <v>13.614307931570762</v>
      </c>
      <c r="D110" s="2"/>
      <c r="E110" s="2"/>
      <c r="F110" s="2"/>
      <c r="G110" s="2"/>
    </row>
    <row r="111" spans="1:7" x14ac:dyDescent="0.25">
      <c r="A111" s="2" t="s">
        <v>152</v>
      </c>
      <c r="B111" s="2" t="s">
        <v>14</v>
      </c>
      <c r="C111" s="8">
        <f>((Posts!F93+Posts!G93+Posts!H93)/Posts!I93)*100</f>
        <v>13.599052880820835</v>
      </c>
      <c r="D111" s="2"/>
      <c r="E111" s="2"/>
      <c r="F111" s="2"/>
      <c r="G111" s="2"/>
    </row>
    <row r="112" spans="1:7" x14ac:dyDescent="0.25">
      <c r="A112" s="2" t="s">
        <v>148</v>
      </c>
      <c r="B112" s="2" t="s">
        <v>38</v>
      </c>
      <c r="C112" s="8">
        <f>((Posts!F89+Posts!G89+Posts!H89)/Posts!I89)*100</f>
        <v>13.576158940397351</v>
      </c>
      <c r="D112" s="2"/>
      <c r="E112" s="2"/>
      <c r="F112" s="2"/>
      <c r="G112" s="2"/>
    </row>
    <row r="113" spans="1:7" x14ac:dyDescent="0.25">
      <c r="A113" s="2" t="s">
        <v>353</v>
      </c>
      <c r="B113" s="2" t="s">
        <v>25</v>
      </c>
      <c r="C113" s="8">
        <f>((Posts!F286+Posts!G286+Posts!H286)/Posts!I286)*100</f>
        <v>13.517919809886983</v>
      </c>
      <c r="D113" s="2"/>
      <c r="E113" s="2"/>
      <c r="F113" s="2"/>
      <c r="G113" s="2"/>
    </row>
    <row r="114" spans="1:7" x14ac:dyDescent="0.25">
      <c r="A114" s="2" t="s">
        <v>104</v>
      </c>
      <c r="B114" s="2" t="s">
        <v>25</v>
      </c>
      <c r="C114" s="8">
        <f>((Posts!F51+Posts!G51+Posts!H51)/Posts!I51)*100</f>
        <v>13.498547567175018</v>
      </c>
      <c r="D114" s="2"/>
      <c r="E114" s="2"/>
      <c r="F114" s="2"/>
      <c r="G114" s="2"/>
    </row>
    <row r="115" spans="1:7" x14ac:dyDescent="0.25">
      <c r="A115" s="2" t="s">
        <v>192</v>
      </c>
      <c r="B115" s="2" t="s">
        <v>30</v>
      </c>
      <c r="C115" s="8">
        <f>((Posts!F133+Posts!G133+Posts!H133)/Posts!I133)*100</f>
        <v>13.493953401503479</v>
      </c>
      <c r="D115" s="2"/>
      <c r="E115" s="2"/>
      <c r="F115" s="2"/>
      <c r="G115" s="2"/>
    </row>
    <row r="116" spans="1:7" x14ac:dyDescent="0.25">
      <c r="A116" s="2" t="s">
        <v>293</v>
      </c>
      <c r="B116" s="2" t="s">
        <v>30</v>
      </c>
      <c r="C116" s="8">
        <f>((Posts!F230+Posts!G230+Posts!H230)/Posts!I230)*100</f>
        <v>13.387048227640017</v>
      </c>
      <c r="D116" s="2"/>
      <c r="E116" s="2"/>
      <c r="F116" s="2"/>
      <c r="G116" s="2"/>
    </row>
    <row r="117" spans="1:7" x14ac:dyDescent="0.25">
      <c r="A117" s="2" t="s">
        <v>131</v>
      </c>
      <c r="B117" s="2" t="s">
        <v>25</v>
      </c>
      <c r="C117" s="8">
        <f>((Posts!F75+Posts!G75+Posts!H75)/Posts!I75)*100</f>
        <v>13.351302785265048</v>
      </c>
      <c r="D117" s="2"/>
      <c r="E117" s="2"/>
      <c r="F117" s="2"/>
      <c r="G117" s="2"/>
    </row>
    <row r="118" spans="1:7" x14ac:dyDescent="0.25">
      <c r="A118" s="2" t="s">
        <v>320</v>
      </c>
      <c r="B118" s="2" t="s">
        <v>14</v>
      </c>
      <c r="C118" s="8">
        <f>((Posts!F255+Posts!G255+Posts!H255)/Posts!I255)*100</f>
        <v>13.331166419019317</v>
      </c>
      <c r="D118" s="2"/>
      <c r="E118" s="2"/>
      <c r="F118" s="2"/>
      <c r="G118" s="2"/>
    </row>
    <row r="119" spans="1:7" x14ac:dyDescent="0.25">
      <c r="A119" s="2" t="s">
        <v>191</v>
      </c>
      <c r="B119" s="2" t="s">
        <v>30</v>
      </c>
      <c r="C119" s="8">
        <f>((Posts!F132+Posts!G132+Posts!H132)/Posts!I132)*100</f>
        <v>13.106060606060607</v>
      </c>
      <c r="D119" s="2"/>
      <c r="E119" s="2"/>
      <c r="F119" s="2"/>
      <c r="G119" s="2"/>
    </row>
    <row r="120" spans="1:7" x14ac:dyDescent="0.25">
      <c r="A120" s="2" t="s">
        <v>300</v>
      </c>
      <c r="B120" s="2" t="s">
        <v>38</v>
      </c>
      <c r="C120" s="8">
        <f>((Posts!F237+Posts!G237+Posts!H237)/Posts!I237)*100</f>
        <v>12.943516308671441</v>
      </c>
      <c r="D120" s="2"/>
      <c r="E120" s="2"/>
      <c r="F120" s="2"/>
      <c r="G120" s="2"/>
    </row>
    <row r="121" spans="1:7" x14ac:dyDescent="0.25">
      <c r="A121" s="2" t="s">
        <v>174</v>
      </c>
      <c r="B121" s="2" t="s">
        <v>14</v>
      </c>
      <c r="C121" s="8">
        <f>((Posts!F115+Posts!G115+Posts!H115)/Posts!I115)*100</f>
        <v>12.942500000000001</v>
      </c>
      <c r="D121" s="2"/>
      <c r="E121" s="2"/>
      <c r="F121" s="2"/>
      <c r="G121" s="2"/>
    </row>
    <row r="122" spans="1:7" x14ac:dyDescent="0.25">
      <c r="A122" s="2" t="s">
        <v>112</v>
      </c>
      <c r="B122" s="2" t="s">
        <v>38</v>
      </c>
      <c r="C122" s="8">
        <f>((Posts!F57+Posts!G57+Posts!H57)/Posts!I57)*100</f>
        <v>12.936184657162253</v>
      </c>
      <c r="D122" s="2"/>
      <c r="E122" s="2"/>
      <c r="F122" s="2"/>
      <c r="G122" s="2"/>
    </row>
    <row r="123" spans="1:7" x14ac:dyDescent="0.25">
      <c r="A123" s="2" t="s">
        <v>165</v>
      </c>
      <c r="B123" s="2" t="s">
        <v>30</v>
      </c>
      <c r="C123" s="8">
        <f>((Posts!F106+Posts!G106+Posts!H106)/Posts!I106)*100</f>
        <v>12.896028558679163</v>
      </c>
      <c r="D123" s="2"/>
      <c r="E123" s="2"/>
      <c r="F123" s="2"/>
      <c r="G123" s="2"/>
    </row>
    <row r="124" spans="1:7" x14ac:dyDescent="0.25">
      <c r="A124" s="2" t="s">
        <v>52</v>
      </c>
      <c r="B124" s="2" t="s">
        <v>38</v>
      </c>
      <c r="C124" s="8">
        <f>((Posts!F13+Posts!G13+Posts!H13)/Posts!I13)*100</f>
        <v>12.885405960945528</v>
      </c>
      <c r="D124" s="2"/>
      <c r="E124" s="2"/>
      <c r="F124" s="2"/>
      <c r="G124" s="2"/>
    </row>
    <row r="125" spans="1:7" x14ac:dyDescent="0.25">
      <c r="A125" s="2" t="s">
        <v>299</v>
      </c>
      <c r="B125" s="2" t="s">
        <v>38</v>
      </c>
      <c r="C125" s="8">
        <f>((Posts!F236+Posts!G236+Posts!H236)/Posts!I236)*100</f>
        <v>12.837069063602231</v>
      </c>
      <c r="D125" s="2"/>
      <c r="E125" s="2"/>
      <c r="F125" s="2"/>
      <c r="G125" s="2"/>
    </row>
    <row r="126" spans="1:7" x14ac:dyDescent="0.25">
      <c r="A126" s="2" t="s">
        <v>84</v>
      </c>
      <c r="B126" s="2" t="s">
        <v>38</v>
      </c>
      <c r="C126" s="8">
        <f>((Posts!F34+Posts!G34+Posts!H34)/Posts!I34)*100</f>
        <v>12.781331438047856</v>
      </c>
      <c r="D126" s="2"/>
      <c r="E126" s="2"/>
      <c r="F126" s="2"/>
      <c r="G126" s="2"/>
    </row>
    <row r="127" spans="1:7" x14ac:dyDescent="0.25">
      <c r="A127" s="2" t="s">
        <v>89</v>
      </c>
      <c r="B127" s="2" t="s">
        <v>25</v>
      </c>
      <c r="C127" s="8">
        <f>((Posts!F39+Posts!G39+Posts!H39)/Posts!I39)*100</f>
        <v>12.577012959422138</v>
      </c>
      <c r="D127" s="2"/>
      <c r="E127" s="2"/>
      <c r="F127" s="2"/>
      <c r="G127" s="2"/>
    </row>
    <row r="128" spans="1:7" x14ac:dyDescent="0.25">
      <c r="A128" s="2" t="s">
        <v>258</v>
      </c>
      <c r="B128" s="2" t="s">
        <v>30</v>
      </c>
      <c r="C128" s="8">
        <f>((Posts!F197+Posts!G197+Posts!H197)/Posts!I197)*100</f>
        <v>12.575841147269717</v>
      </c>
      <c r="D128" s="2"/>
      <c r="E128" s="2"/>
      <c r="F128" s="2"/>
      <c r="G128" s="2"/>
    </row>
    <row r="129" spans="1:7" x14ac:dyDescent="0.25">
      <c r="A129" s="2" t="s">
        <v>188</v>
      </c>
      <c r="B129" s="2" t="s">
        <v>14</v>
      </c>
      <c r="C129" s="8">
        <f>((Posts!F129+Posts!G129+Posts!H129)/Posts!I129)*100</f>
        <v>12.537731780940058</v>
      </c>
      <c r="D129" s="2"/>
      <c r="E129" s="2"/>
      <c r="F129" s="2"/>
      <c r="G129" s="2"/>
    </row>
    <row r="130" spans="1:7" x14ac:dyDescent="0.25">
      <c r="A130" s="2" t="s">
        <v>231</v>
      </c>
      <c r="B130" s="2" t="s">
        <v>25</v>
      </c>
      <c r="C130" s="8">
        <f>((Posts!F170+Posts!G170+Posts!H170)/Posts!I170)*100</f>
        <v>12.490884163239112</v>
      </c>
      <c r="D130" s="2"/>
      <c r="E130" s="2"/>
      <c r="F130" s="2"/>
      <c r="G130" s="2"/>
    </row>
    <row r="131" spans="1:7" x14ac:dyDescent="0.25">
      <c r="A131" s="2" t="s">
        <v>361</v>
      </c>
      <c r="B131" s="2" t="s">
        <v>38</v>
      </c>
      <c r="C131" s="8">
        <f>((Posts!F294+Posts!G294+Posts!H294)/Posts!I294)*100</f>
        <v>12.428384068475184</v>
      </c>
      <c r="D131" s="2"/>
      <c r="E131" s="2"/>
      <c r="F131" s="2"/>
      <c r="G131" s="2"/>
    </row>
    <row r="132" spans="1:7" x14ac:dyDescent="0.25">
      <c r="A132" s="2" t="s">
        <v>360</v>
      </c>
      <c r="B132" s="2" t="s">
        <v>38</v>
      </c>
      <c r="C132" s="8">
        <f>((Posts!F293+Posts!G293+Posts!H293)/Posts!I293)*100</f>
        <v>12.353896103896105</v>
      </c>
      <c r="D132" s="2"/>
      <c r="E132" s="2"/>
      <c r="F132" s="2"/>
      <c r="G132" s="2"/>
    </row>
    <row r="133" spans="1:7" x14ac:dyDescent="0.25">
      <c r="A133" s="2" t="s">
        <v>275</v>
      </c>
      <c r="B133" s="2" t="s">
        <v>25</v>
      </c>
      <c r="C133" s="8">
        <f>((Posts!F213+Posts!G213+Posts!H213)/Posts!I213)*100</f>
        <v>12.330924109447599</v>
      </c>
      <c r="D133" s="2"/>
      <c r="E133" s="2"/>
      <c r="F133" s="2"/>
      <c r="G133" s="2"/>
    </row>
    <row r="134" spans="1:7" x14ac:dyDescent="0.25">
      <c r="A134" s="2" t="s">
        <v>170</v>
      </c>
      <c r="B134" s="2" t="s">
        <v>30</v>
      </c>
      <c r="C134" s="8">
        <f>((Posts!F111+Posts!G111+Posts!H111)/Posts!I111)*100</f>
        <v>12.277759141227776</v>
      </c>
      <c r="D134" s="2"/>
      <c r="E134" s="2"/>
      <c r="F134" s="2"/>
      <c r="G134" s="2"/>
    </row>
    <row r="135" spans="1:7" x14ac:dyDescent="0.25">
      <c r="A135" s="2" t="s">
        <v>310</v>
      </c>
      <c r="B135" s="2" t="s">
        <v>38</v>
      </c>
      <c r="C135" s="8">
        <f>((Posts!F246+Posts!G246+Posts!H246)/Posts!I246)*100</f>
        <v>12.232704402515724</v>
      </c>
      <c r="D135" s="2"/>
      <c r="E135" s="2"/>
      <c r="F135" s="2"/>
      <c r="G135" s="2"/>
    </row>
    <row r="136" spans="1:7" x14ac:dyDescent="0.25">
      <c r="A136" s="2" t="s">
        <v>132</v>
      </c>
      <c r="B136" s="2" t="s">
        <v>30</v>
      </c>
      <c r="C136" s="8">
        <f>((Posts!F76+Posts!G76+Posts!H76)/Posts!I76)*100</f>
        <v>12.131237937689551</v>
      </c>
      <c r="D136" s="2"/>
      <c r="E136" s="2"/>
      <c r="F136" s="2"/>
      <c r="G136" s="2"/>
    </row>
    <row r="137" spans="1:7" x14ac:dyDescent="0.25">
      <c r="A137" s="2" t="s">
        <v>321</v>
      </c>
      <c r="B137" s="2" t="s">
        <v>38</v>
      </c>
      <c r="C137" s="8">
        <f>((Posts!F256+Posts!G256+Posts!H256)/Posts!I256)*100</f>
        <v>11.996283514733209</v>
      </c>
      <c r="D137" s="2"/>
      <c r="E137" s="2"/>
      <c r="F137" s="2"/>
      <c r="G137" s="2"/>
    </row>
    <row r="138" spans="1:7" x14ac:dyDescent="0.25">
      <c r="A138" s="2" t="s">
        <v>128</v>
      </c>
      <c r="B138" s="2" t="s">
        <v>25</v>
      </c>
      <c r="C138" s="8">
        <f>((Posts!F72+Posts!G72+Posts!H72)/Posts!I72)*100</f>
        <v>11.992029269567491</v>
      </c>
      <c r="D138" s="2"/>
      <c r="E138" s="2"/>
      <c r="F138" s="2"/>
      <c r="G138" s="2"/>
    </row>
    <row r="139" spans="1:7" x14ac:dyDescent="0.25">
      <c r="A139" s="2" t="s">
        <v>122</v>
      </c>
      <c r="B139" s="2" t="s">
        <v>30</v>
      </c>
      <c r="C139" s="8">
        <f>((Posts!F66+Posts!G66+Posts!H66)/Posts!I66)*100</f>
        <v>11.990720603160794</v>
      </c>
      <c r="D139" s="2"/>
      <c r="E139" s="2"/>
      <c r="F139" s="2"/>
      <c r="G139" s="2"/>
    </row>
    <row r="140" spans="1:7" x14ac:dyDescent="0.25">
      <c r="A140" s="2" t="s">
        <v>312</v>
      </c>
      <c r="B140" s="2" t="s">
        <v>38</v>
      </c>
      <c r="C140" s="8">
        <f>((Posts!F248+Posts!G248+Posts!H248)/Posts!I248)*100</f>
        <v>11.879910213243546</v>
      </c>
      <c r="D140" s="2"/>
      <c r="E140" s="2"/>
      <c r="F140" s="2"/>
      <c r="G140" s="2"/>
    </row>
    <row r="141" spans="1:7" x14ac:dyDescent="0.25">
      <c r="A141" s="2" t="s">
        <v>86</v>
      </c>
      <c r="B141" s="2" t="s">
        <v>30</v>
      </c>
      <c r="C141" s="8">
        <f>((Posts!F36+Posts!G36+Posts!H36)/Posts!I36)*100</f>
        <v>11.861662987490803</v>
      </c>
      <c r="D141" s="2"/>
      <c r="E141" s="2"/>
      <c r="F141" s="2"/>
      <c r="G141" s="2"/>
    </row>
    <row r="142" spans="1:7" x14ac:dyDescent="0.25">
      <c r="A142" s="2" t="s">
        <v>177</v>
      </c>
      <c r="B142" s="2" t="s">
        <v>14</v>
      </c>
      <c r="C142" s="8">
        <f>((Posts!F118+Posts!G118+Posts!H118)/Posts!I118)*100</f>
        <v>11.792317271769326</v>
      </c>
      <c r="D142" s="2"/>
      <c r="E142" s="2"/>
      <c r="F142" s="2"/>
      <c r="G142" s="2"/>
    </row>
    <row r="143" spans="1:7" x14ac:dyDescent="0.25">
      <c r="A143" s="2" t="s">
        <v>317</v>
      </c>
      <c r="B143" s="2" t="s">
        <v>30</v>
      </c>
      <c r="C143" s="8">
        <f>((Posts!F252+Posts!G252+Posts!H252)/Posts!I252)*100</f>
        <v>11.619462599854756</v>
      </c>
      <c r="D143" s="2"/>
      <c r="E143" s="2"/>
      <c r="F143" s="2"/>
      <c r="G143" s="2"/>
    </row>
    <row r="144" spans="1:7" x14ac:dyDescent="0.25">
      <c r="A144" s="2" t="s">
        <v>50</v>
      </c>
      <c r="B144" s="2" t="s">
        <v>30</v>
      </c>
      <c r="C144" s="8">
        <f>((Posts!F12+Posts!G12+Posts!H12)/Posts!I12)*100</f>
        <v>11.571269132653061</v>
      </c>
      <c r="D144" s="2"/>
      <c r="E144" s="2"/>
      <c r="F144" s="2"/>
      <c r="G144" s="2"/>
    </row>
    <row r="145" spans="1:7" x14ac:dyDescent="0.25">
      <c r="A145" s="2" t="s">
        <v>223</v>
      </c>
      <c r="B145" s="2" t="s">
        <v>14</v>
      </c>
      <c r="C145" s="8">
        <f>((Posts!F162+Posts!G162+Posts!H162)/Posts!I162)*100</f>
        <v>11.508145034156595</v>
      </c>
      <c r="D145" s="2"/>
      <c r="E145" s="2"/>
      <c r="F145" s="2"/>
      <c r="G145" s="2"/>
    </row>
    <row r="146" spans="1:7" x14ac:dyDescent="0.25">
      <c r="A146" s="2" t="s">
        <v>217</v>
      </c>
      <c r="B146" s="2" t="s">
        <v>25</v>
      </c>
      <c r="C146" s="8">
        <f>((Posts!F156+Posts!G156+Posts!H156)/Posts!I156)*100</f>
        <v>11.489268506351292</v>
      </c>
      <c r="D146" s="2"/>
      <c r="E146" s="2"/>
      <c r="F146" s="2"/>
      <c r="G146" s="2"/>
    </row>
    <row r="147" spans="1:7" x14ac:dyDescent="0.25">
      <c r="A147" s="2" t="s">
        <v>352</v>
      </c>
      <c r="B147" s="2" t="s">
        <v>14</v>
      </c>
      <c r="C147" s="8">
        <f>((Posts!F285+Posts!G285+Posts!H285)/Posts!I285)*100</f>
        <v>11.46595240548058</v>
      </c>
      <c r="D147" s="2"/>
      <c r="E147" s="2"/>
      <c r="F147" s="2"/>
      <c r="G147" s="2"/>
    </row>
    <row r="148" spans="1:7" x14ac:dyDescent="0.25">
      <c r="A148" s="2" t="s">
        <v>173</v>
      </c>
      <c r="B148" s="2" t="s">
        <v>14</v>
      </c>
      <c r="C148" s="8">
        <f>((Posts!F114+Posts!G114+Posts!H114)/Posts!I114)*100</f>
        <v>11.369088028965828</v>
      </c>
      <c r="D148" s="2"/>
      <c r="E148" s="2"/>
      <c r="F148" s="2"/>
      <c r="G148" s="2"/>
    </row>
    <row r="149" spans="1:7" x14ac:dyDescent="0.25">
      <c r="A149" s="2" t="s">
        <v>220</v>
      </c>
      <c r="B149" s="2" t="s">
        <v>30</v>
      </c>
      <c r="C149" s="8">
        <f>((Posts!F159+Posts!G159+Posts!H159)/Posts!I159)*100</f>
        <v>11.307081114118571</v>
      </c>
      <c r="D149" s="2"/>
      <c r="E149" s="2"/>
      <c r="F149" s="2"/>
      <c r="G149" s="2"/>
    </row>
    <row r="150" spans="1:7" x14ac:dyDescent="0.25">
      <c r="A150" s="2" t="s">
        <v>158</v>
      </c>
      <c r="B150" s="2" t="s">
        <v>14</v>
      </c>
      <c r="C150" s="8">
        <f>((Posts!F99+Posts!G99+Posts!H99)/Posts!I99)*100</f>
        <v>11.238095238095239</v>
      </c>
      <c r="D150" s="2"/>
      <c r="E150" s="2"/>
      <c r="F150" s="2"/>
      <c r="G150" s="2"/>
    </row>
    <row r="151" spans="1:7" x14ac:dyDescent="0.25">
      <c r="A151" s="2" t="s">
        <v>291</v>
      </c>
      <c r="B151" s="2" t="s">
        <v>30</v>
      </c>
      <c r="C151" s="8">
        <f>((Posts!F228+Posts!G228+Posts!H228)/Posts!I228)*100</f>
        <v>11.232349165596919</v>
      </c>
      <c r="D151" s="2"/>
      <c r="E151" s="2"/>
      <c r="F151" s="2"/>
      <c r="G151" s="2"/>
    </row>
    <row r="152" spans="1:7" x14ac:dyDescent="0.25">
      <c r="A152" s="2" t="s">
        <v>285</v>
      </c>
      <c r="B152" s="2" t="s">
        <v>38</v>
      </c>
      <c r="C152" s="8">
        <f>((Posts!F223+Posts!G223+Posts!H223)/Posts!I223)*100</f>
        <v>11.143487163332809</v>
      </c>
      <c r="D152" s="2"/>
      <c r="E152" s="2"/>
      <c r="F152" s="2"/>
      <c r="G152" s="2"/>
    </row>
    <row r="153" spans="1:7" x14ac:dyDescent="0.25">
      <c r="A153" s="2" t="s">
        <v>346</v>
      </c>
      <c r="B153" s="2" t="s">
        <v>14</v>
      </c>
      <c r="C153" s="8">
        <f>((Posts!F279+Posts!G279+Posts!H279)/Posts!I279)*100</f>
        <v>11.114018842096787</v>
      </c>
      <c r="D153" s="2"/>
      <c r="E153" s="2"/>
      <c r="F153" s="2"/>
      <c r="G153" s="2"/>
    </row>
    <row r="154" spans="1:7" x14ac:dyDescent="0.25">
      <c r="A154" s="2" t="s">
        <v>213</v>
      </c>
      <c r="B154" s="2" t="s">
        <v>30</v>
      </c>
      <c r="C154" s="8">
        <f>((Posts!F152+Posts!G152+Posts!H152)/Posts!I152)*100</f>
        <v>10.977802753582468</v>
      </c>
      <c r="D154" s="2"/>
      <c r="E154" s="2"/>
      <c r="F154" s="2"/>
      <c r="G154" s="2"/>
    </row>
    <row r="155" spans="1:7" x14ac:dyDescent="0.25">
      <c r="A155" s="2" t="s">
        <v>218</v>
      </c>
      <c r="B155" s="2" t="s">
        <v>38</v>
      </c>
      <c r="C155" s="8">
        <f>((Posts!F157+Posts!G157+Posts!H157)/Posts!I157)*100</f>
        <v>10.957866715623279</v>
      </c>
      <c r="D155" s="2"/>
      <c r="E155" s="2"/>
      <c r="F155" s="2"/>
      <c r="G155" s="2"/>
    </row>
    <row r="156" spans="1:7" x14ac:dyDescent="0.25">
      <c r="A156" s="2" t="s">
        <v>219</v>
      </c>
      <c r="B156" s="2" t="s">
        <v>25</v>
      </c>
      <c r="C156" s="8">
        <f>((Posts!F158+Posts!G158+Posts!H158)/Posts!I158)*100</f>
        <v>10.793717277486911</v>
      </c>
      <c r="D156" s="2"/>
      <c r="E156" s="2"/>
      <c r="F156" s="2"/>
      <c r="G156" s="2"/>
    </row>
    <row r="157" spans="1:7" x14ac:dyDescent="0.25">
      <c r="A157" s="2" t="s">
        <v>269</v>
      </c>
      <c r="B157" s="2" t="s">
        <v>14</v>
      </c>
      <c r="C157" s="8">
        <f>((Posts!F207+Posts!G207+Posts!H207)/Posts!I207)*100</f>
        <v>10.768685795253278</v>
      </c>
      <c r="D157" s="2"/>
      <c r="E157" s="2"/>
      <c r="F157" s="2"/>
      <c r="G157" s="2"/>
    </row>
    <row r="158" spans="1:7" x14ac:dyDescent="0.25">
      <c r="A158" s="2" t="s">
        <v>350</v>
      </c>
      <c r="B158" s="2" t="s">
        <v>30</v>
      </c>
      <c r="C158" s="8">
        <f>((Posts!F283+Posts!G283+Posts!H283)/Posts!I283)*100</f>
        <v>10.716501240694789</v>
      </c>
      <c r="D158" s="2"/>
      <c r="E158" s="2"/>
      <c r="F158" s="2"/>
      <c r="G158" s="2"/>
    </row>
    <row r="159" spans="1:7" x14ac:dyDescent="0.25">
      <c r="A159" s="2" t="s">
        <v>103</v>
      </c>
      <c r="B159" s="2" t="s">
        <v>14</v>
      </c>
      <c r="C159" s="8">
        <f>((Posts!F50+Posts!G50+Posts!H50)/Posts!I50)*100</f>
        <v>10.617801791554102</v>
      </c>
      <c r="D159" s="2"/>
      <c r="E159" s="2"/>
      <c r="F159" s="2"/>
      <c r="G159" s="2"/>
    </row>
    <row r="160" spans="1:7" x14ac:dyDescent="0.25">
      <c r="A160" s="2" t="s">
        <v>267</v>
      </c>
      <c r="B160" s="2" t="s">
        <v>14</v>
      </c>
      <c r="C160" s="8">
        <f>((Posts!F206+Posts!G206+Posts!H206)/Posts!I206)*100</f>
        <v>10.438481675392671</v>
      </c>
      <c r="D160" s="2"/>
      <c r="E160" s="2"/>
      <c r="F160" s="2"/>
      <c r="G160" s="2"/>
    </row>
    <row r="161" spans="1:7" x14ac:dyDescent="0.25">
      <c r="A161" s="2" t="s">
        <v>43</v>
      </c>
      <c r="B161" s="2" t="s">
        <v>25</v>
      </c>
      <c r="C161" s="8">
        <f>((Posts!F9+Posts!G9+Posts!H9)/Posts!I9)*100</f>
        <v>10.340359564080613</v>
      </c>
      <c r="D161" s="2"/>
      <c r="E161" s="2"/>
      <c r="F161" s="2"/>
      <c r="G161" s="2"/>
    </row>
    <row r="162" spans="1:7" x14ac:dyDescent="0.25">
      <c r="A162" s="2" t="s">
        <v>156</v>
      </c>
      <c r="B162" s="2" t="s">
        <v>14</v>
      </c>
      <c r="C162" s="8">
        <f>((Posts!F97+Posts!G97+Posts!H97)/Posts!I97)*100</f>
        <v>10.339256865912763</v>
      </c>
      <c r="D162" s="2"/>
      <c r="E162" s="2"/>
      <c r="F162" s="2"/>
      <c r="G162" s="2"/>
    </row>
    <row r="163" spans="1:7" x14ac:dyDescent="0.25">
      <c r="A163" s="2" t="s">
        <v>63</v>
      </c>
      <c r="B163" s="2" t="s">
        <v>30</v>
      </c>
      <c r="C163" s="8">
        <f>((Posts!F19+Posts!G19+Posts!H19)/Posts!I19)*100</f>
        <v>10.297222222222222</v>
      </c>
      <c r="D163" s="2"/>
      <c r="E163" s="2"/>
      <c r="F163" s="2"/>
      <c r="G163" s="2"/>
    </row>
    <row r="164" spans="1:7" x14ac:dyDescent="0.25">
      <c r="A164" s="2" t="s">
        <v>244</v>
      </c>
      <c r="B164" s="2" t="s">
        <v>38</v>
      </c>
      <c r="C164" s="8">
        <f>((Posts!F183+Posts!G183+Posts!H183)/Posts!I183)*100</f>
        <v>10.132030477519921</v>
      </c>
      <c r="D164" s="2"/>
      <c r="E164" s="2"/>
      <c r="F164" s="2"/>
      <c r="G164" s="2"/>
    </row>
    <row r="165" spans="1:7" x14ac:dyDescent="0.25">
      <c r="A165" s="2" t="s">
        <v>334</v>
      </c>
      <c r="B165" s="2" t="s">
        <v>38</v>
      </c>
      <c r="C165" s="8">
        <f>((Posts!F267+Posts!G267+Posts!H267)/Posts!I267)*100</f>
        <v>10.086880280567511</v>
      </c>
      <c r="D165" s="2"/>
      <c r="E165" s="2"/>
      <c r="F165" s="2"/>
      <c r="G165" s="2"/>
    </row>
    <row r="166" spans="1:7" x14ac:dyDescent="0.25">
      <c r="A166" s="2" t="s">
        <v>65</v>
      </c>
      <c r="B166" s="2" t="s">
        <v>30</v>
      </c>
      <c r="C166" s="8">
        <f>((Posts!F20+Posts!G20+Posts!H20)/Posts!I20)*100</f>
        <v>10.034235916588857</v>
      </c>
      <c r="D166" s="2"/>
      <c r="E166" s="2"/>
      <c r="F166" s="2"/>
      <c r="G166" s="2"/>
    </row>
    <row r="167" spans="1:7" x14ac:dyDescent="0.25">
      <c r="A167" s="2" t="s">
        <v>168</v>
      </c>
      <c r="B167" s="2" t="s">
        <v>14</v>
      </c>
      <c r="C167" s="8">
        <f>((Posts!F109+Posts!G109+Posts!H109)/Posts!I109)*100</f>
        <v>10.005698005698006</v>
      </c>
      <c r="D167" s="2"/>
      <c r="E167" s="2"/>
      <c r="F167" s="2"/>
      <c r="G167" s="2"/>
    </row>
    <row r="168" spans="1:7" x14ac:dyDescent="0.25">
      <c r="A168" s="2" t="s">
        <v>186</v>
      </c>
      <c r="B168" s="2" t="s">
        <v>30</v>
      </c>
      <c r="C168" s="8">
        <f>((Posts!F127+Posts!G127+Posts!H127)/Posts!I127)*100</f>
        <v>9.9829463465827111</v>
      </c>
      <c r="D168" s="2"/>
      <c r="E168" s="2"/>
      <c r="F168" s="2"/>
      <c r="G168" s="2"/>
    </row>
    <row r="169" spans="1:7" x14ac:dyDescent="0.25">
      <c r="A169" s="2" t="s">
        <v>163</v>
      </c>
      <c r="B169" s="2" t="s">
        <v>38</v>
      </c>
      <c r="C169" s="8">
        <f>((Posts!F104+Posts!G104+Posts!H104)/Posts!I104)*100</f>
        <v>9.963281500283399</v>
      </c>
      <c r="D169" s="2"/>
      <c r="E169" s="2"/>
      <c r="F169" s="2"/>
      <c r="G169" s="2"/>
    </row>
    <row r="170" spans="1:7" x14ac:dyDescent="0.25">
      <c r="A170" s="2" t="s">
        <v>253</v>
      </c>
      <c r="B170" s="2" t="s">
        <v>25</v>
      </c>
      <c r="C170" s="8">
        <f>((Posts!F192+Posts!G192+Posts!H192)/Posts!I192)*100</f>
        <v>9.9578134817341351</v>
      </c>
      <c r="D170" s="2"/>
      <c r="E170" s="2"/>
      <c r="F170" s="2"/>
      <c r="G170" s="2"/>
    </row>
    <row r="171" spans="1:7" x14ac:dyDescent="0.25">
      <c r="A171" s="2" t="s">
        <v>255</v>
      </c>
      <c r="B171" s="2" t="s">
        <v>14</v>
      </c>
      <c r="C171" s="8">
        <f>((Posts!F194+Posts!G194+Posts!H194)/Posts!I194)*100</f>
        <v>9.9255211647142492</v>
      </c>
      <c r="D171" s="2"/>
      <c r="E171" s="2"/>
      <c r="F171" s="2"/>
      <c r="G171" s="2"/>
    </row>
    <row r="172" spans="1:7" x14ac:dyDescent="0.25">
      <c r="A172" s="2" t="s">
        <v>229</v>
      </c>
      <c r="B172" s="2" t="s">
        <v>30</v>
      </c>
      <c r="C172" s="8">
        <f>((Posts!F168+Posts!G168+Posts!H168)/Posts!I168)*100</f>
        <v>9.8599175574652413</v>
      </c>
      <c r="D172" s="2"/>
      <c r="E172" s="2"/>
      <c r="F172" s="2"/>
      <c r="G172" s="2"/>
    </row>
    <row r="173" spans="1:7" x14ac:dyDescent="0.25">
      <c r="A173" s="2" t="s">
        <v>96</v>
      </c>
      <c r="B173" s="2" t="s">
        <v>14</v>
      </c>
      <c r="C173" s="8">
        <f>((Posts!F45+Posts!G45+Posts!H45)/Posts!I45)*100</f>
        <v>9.8558100084817646</v>
      </c>
      <c r="D173" s="2"/>
      <c r="E173" s="2"/>
      <c r="F173" s="2"/>
      <c r="G173" s="2"/>
    </row>
    <row r="174" spans="1:7" x14ac:dyDescent="0.25">
      <c r="A174" s="2" t="s">
        <v>233</v>
      </c>
      <c r="B174" s="2" t="s">
        <v>25</v>
      </c>
      <c r="C174" s="8">
        <f>((Posts!F172+Posts!G172+Posts!H172)/Posts!I172)*100</f>
        <v>9.8068107400130966</v>
      </c>
      <c r="D174" s="2"/>
      <c r="E174" s="2"/>
      <c r="F174" s="2"/>
      <c r="G174" s="2"/>
    </row>
    <row r="175" spans="1:7" x14ac:dyDescent="0.25">
      <c r="A175" s="2" t="s">
        <v>341</v>
      </c>
      <c r="B175" s="2" t="s">
        <v>25</v>
      </c>
      <c r="C175" s="8">
        <f>((Posts!F274+Posts!G274+Posts!H274)/Posts!I274)*100</f>
        <v>9.770043194926469</v>
      </c>
      <c r="D175" s="2"/>
      <c r="E175" s="2"/>
      <c r="F175" s="2"/>
      <c r="G175" s="2"/>
    </row>
    <row r="176" spans="1:7" x14ac:dyDescent="0.25">
      <c r="A176" s="2" t="s">
        <v>308</v>
      </c>
      <c r="B176" s="2" t="s">
        <v>14</v>
      </c>
      <c r="C176" s="8">
        <f>((Posts!F244+Posts!G244+Posts!H244)/Posts!I244)*100</f>
        <v>9.7001272669424115</v>
      </c>
      <c r="D176" s="2"/>
      <c r="E176" s="2"/>
      <c r="F176" s="2"/>
      <c r="G176" s="2"/>
    </row>
    <row r="177" spans="1:7" x14ac:dyDescent="0.25">
      <c r="A177" s="2" t="s">
        <v>247</v>
      </c>
      <c r="B177" s="2" t="s">
        <v>30</v>
      </c>
      <c r="C177" s="8">
        <f>((Posts!F186+Posts!G186+Posts!H186)/Posts!I186)*100</f>
        <v>9.5290736237010822</v>
      </c>
      <c r="D177" s="2"/>
      <c r="E177" s="2"/>
      <c r="F177" s="2"/>
      <c r="G177" s="2"/>
    </row>
    <row r="178" spans="1:7" x14ac:dyDescent="0.25">
      <c r="A178" s="2" t="s">
        <v>138</v>
      </c>
      <c r="B178" s="2" t="s">
        <v>30</v>
      </c>
      <c r="C178" s="8">
        <f>((Posts!F82+Posts!G82+Posts!H82)/Posts!I82)*100</f>
        <v>9.4413295955146186</v>
      </c>
      <c r="D178" s="2"/>
      <c r="E178" s="2"/>
      <c r="F178" s="2"/>
      <c r="G178" s="2"/>
    </row>
    <row r="179" spans="1:7" x14ac:dyDescent="0.25">
      <c r="A179" s="2" t="s">
        <v>62</v>
      </c>
      <c r="B179" s="2" t="s">
        <v>38</v>
      </c>
      <c r="C179" s="8">
        <f>((Posts!F18+Posts!G18+Posts!H18)/Posts!I18)*100</f>
        <v>9.4235532537716722</v>
      </c>
      <c r="D179" s="2"/>
      <c r="E179" s="2"/>
      <c r="F179" s="2"/>
      <c r="G179" s="2"/>
    </row>
    <row r="180" spans="1:7" x14ac:dyDescent="0.25">
      <c r="A180" s="2" t="s">
        <v>199</v>
      </c>
      <c r="B180" s="2" t="s">
        <v>25</v>
      </c>
      <c r="C180" s="8">
        <f>((Posts!F140+Posts!G140+Posts!H140)/Posts!I140)*100</f>
        <v>9.4227967953386749</v>
      </c>
      <c r="D180" s="2"/>
      <c r="E180" s="2"/>
      <c r="F180" s="2"/>
      <c r="G180" s="2"/>
    </row>
    <row r="181" spans="1:7" x14ac:dyDescent="0.25">
      <c r="A181" s="2" t="s">
        <v>126</v>
      </c>
      <c r="B181" s="2" t="s">
        <v>14</v>
      </c>
      <c r="C181" s="8">
        <f>((Posts!F70+Posts!G70+Posts!H70)/Posts!I70)*100</f>
        <v>9.3421052631578938</v>
      </c>
      <c r="D181" s="2"/>
      <c r="E181" s="2"/>
      <c r="F181" s="2"/>
      <c r="G181" s="2"/>
    </row>
    <row r="182" spans="1:7" x14ac:dyDescent="0.25">
      <c r="A182" s="2" t="s">
        <v>115</v>
      </c>
      <c r="B182" s="2" t="s">
        <v>30</v>
      </c>
      <c r="C182" s="8">
        <f>((Posts!F60+Posts!G60+Posts!H60)/Posts!I60)*100</f>
        <v>9.2726081258191346</v>
      </c>
      <c r="D182" s="2"/>
      <c r="E182" s="2"/>
      <c r="F182" s="2"/>
      <c r="G182" s="2"/>
    </row>
    <row r="183" spans="1:7" x14ac:dyDescent="0.25">
      <c r="A183" s="2" t="s">
        <v>160</v>
      </c>
      <c r="B183" s="2" t="s">
        <v>25</v>
      </c>
      <c r="C183" s="8">
        <f>((Posts!F101+Posts!G101+Posts!H101)/Posts!I101)*100</f>
        <v>9.2298980747451864</v>
      </c>
      <c r="D183" s="2"/>
      <c r="E183" s="2"/>
      <c r="F183" s="2"/>
      <c r="G183" s="2"/>
    </row>
    <row r="184" spans="1:7" x14ac:dyDescent="0.25">
      <c r="A184" s="2" t="s">
        <v>111</v>
      </c>
      <c r="B184" s="2" t="s">
        <v>38</v>
      </c>
      <c r="C184" s="8">
        <f>((Posts!F56+Posts!G56+Posts!H56)/Posts!I56)*100</f>
        <v>9.1897770527460576</v>
      </c>
      <c r="D184" s="2"/>
      <c r="E184" s="2"/>
      <c r="F184" s="2"/>
      <c r="G184" s="2"/>
    </row>
    <row r="185" spans="1:7" x14ac:dyDescent="0.25">
      <c r="A185" s="2" t="s">
        <v>239</v>
      </c>
      <c r="B185" s="2" t="s">
        <v>30</v>
      </c>
      <c r="C185" s="8">
        <f>((Posts!F178+Posts!G178+Posts!H178)/Posts!I178)*100</f>
        <v>9.1365878393951974</v>
      </c>
      <c r="D185" s="2"/>
      <c r="E185" s="2"/>
      <c r="F185" s="2"/>
      <c r="G185" s="2"/>
    </row>
    <row r="186" spans="1:7" x14ac:dyDescent="0.25">
      <c r="A186" s="2" t="s">
        <v>222</v>
      </c>
      <c r="B186" s="2" t="s">
        <v>14</v>
      </c>
      <c r="C186" s="8">
        <f>((Posts!F161+Posts!G161+Posts!H161)/Posts!I161)*100</f>
        <v>9.1137810638734855</v>
      </c>
      <c r="D186" s="2"/>
      <c r="E186" s="2"/>
      <c r="F186" s="2"/>
      <c r="G186" s="2"/>
    </row>
    <row r="187" spans="1:7" x14ac:dyDescent="0.25">
      <c r="A187" s="2" t="s">
        <v>13</v>
      </c>
      <c r="B187" s="2" t="s">
        <v>14</v>
      </c>
      <c r="C187" s="8">
        <f>((Posts!F2+Posts!G2+Posts!H2)/Posts!I2)*100</f>
        <v>9.075975359342916</v>
      </c>
      <c r="D187" s="2"/>
      <c r="E187" s="2"/>
      <c r="F187" s="2"/>
      <c r="G187" s="2"/>
    </row>
    <row r="188" spans="1:7" x14ac:dyDescent="0.25">
      <c r="A188" s="2" t="s">
        <v>263</v>
      </c>
      <c r="B188" s="2" t="s">
        <v>14</v>
      </c>
      <c r="C188" s="8">
        <f>((Posts!F202+Posts!G202+Posts!H202)/Posts!I202)*100</f>
        <v>9.0606816292601824</v>
      </c>
      <c r="D188" s="2"/>
      <c r="E188" s="2"/>
      <c r="F188" s="2"/>
      <c r="G188" s="2"/>
    </row>
    <row r="189" spans="1:7" x14ac:dyDescent="0.25">
      <c r="A189" s="2" t="s">
        <v>242</v>
      </c>
      <c r="B189" s="2" t="s">
        <v>25</v>
      </c>
      <c r="C189" s="8">
        <f>((Posts!F181+Posts!G181+Posts!H181)/Posts!I181)*100</f>
        <v>9.0230707045581742</v>
      </c>
      <c r="D189" s="2"/>
      <c r="E189" s="2"/>
      <c r="F189" s="2"/>
      <c r="G189" s="2"/>
    </row>
    <row r="190" spans="1:7" x14ac:dyDescent="0.25">
      <c r="A190" s="2" t="s">
        <v>75</v>
      </c>
      <c r="B190" s="2" t="s">
        <v>25</v>
      </c>
      <c r="C190" s="8">
        <f>((Posts!F27+Posts!G27+Posts!H27)/Posts!I27)*100</f>
        <v>8.9730807577268195</v>
      </c>
      <c r="D190" s="2"/>
      <c r="E190" s="2"/>
      <c r="F190" s="2"/>
      <c r="G190" s="2"/>
    </row>
    <row r="191" spans="1:7" x14ac:dyDescent="0.25">
      <c r="A191" s="2" t="s">
        <v>190</v>
      </c>
      <c r="B191" s="2" t="s">
        <v>25</v>
      </c>
      <c r="C191" s="8">
        <f>((Posts!F131+Posts!G131+Posts!H131)/Posts!I131)*100</f>
        <v>8.9577656675749324</v>
      </c>
      <c r="D191" s="2"/>
      <c r="E191" s="2"/>
      <c r="F191" s="2"/>
      <c r="G191" s="2"/>
    </row>
    <row r="192" spans="1:7" x14ac:dyDescent="0.25">
      <c r="A192" s="2" t="s">
        <v>136</v>
      </c>
      <c r="B192" s="2" t="s">
        <v>30</v>
      </c>
      <c r="C192" s="8">
        <f>((Posts!F80+Posts!G80+Posts!H80)/Posts!I80)*100</f>
        <v>8.8606960184535151</v>
      </c>
      <c r="D192" s="2"/>
      <c r="E192" s="2"/>
      <c r="F192" s="2"/>
      <c r="G192" s="2"/>
    </row>
    <row r="193" spans="1:7" x14ac:dyDescent="0.25">
      <c r="A193" s="2" t="s">
        <v>129</v>
      </c>
      <c r="B193" s="2" t="s">
        <v>25</v>
      </c>
      <c r="C193" s="8">
        <f>((Posts!F73+Posts!G73+Posts!H73)/Posts!I73)*100</f>
        <v>8.8371266002844955</v>
      </c>
      <c r="D193" s="2"/>
      <c r="E193" s="2"/>
      <c r="F193" s="2"/>
      <c r="G193" s="2"/>
    </row>
    <row r="194" spans="1:7" x14ac:dyDescent="0.25">
      <c r="A194" s="2" t="s">
        <v>46</v>
      </c>
      <c r="B194" s="2" t="s">
        <v>38</v>
      </c>
      <c r="C194" s="8">
        <f>((Posts!F10+Posts!G10+Posts!H10)/Posts!I10)*100</f>
        <v>8.8019732205778709</v>
      </c>
      <c r="D194" s="2"/>
      <c r="E194" s="2"/>
      <c r="F194" s="2"/>
      <c r="G194" s="2"/>
    </row>
    <row r="195" spans="1:7" x14ac:dyDescent="0.25">
      <c r="A195" s="2" t="s">
        <v>327</v>
      </c>
      <c r="B195" s="2" t="s">
        <v>30</v>
      </c>
      <c r="C195" s="8">
        <f>((Posts!F261+Posts!G261+Posts!H261)/Posts!I261)*100</f>
        <v>8.775227542540561</v>
      </c>
      <c r="D195" s="2"/>
      <c r="E195" s="2"/>
      <c r="F195" s="2"/>
      <c r="G195" s="2"/>
    </row>
    <row r="196" spans="1:7" x14ac:dyDescent="0.25">
      <c r="A196" s="2" t="s">
        <v>315</v>
      </c>
      <c r="B196" s="2" t="s">
        <v>14</v>
      </c>
      <c r="C196" s="8">
        <f>((Posts!F250+Posts!G250+Posts!H250)/Posts!I250)*100</f>
        <v>8.7733440816874904</v>
      </c>
      <c r="D196" s="2"/>
      <c r="E196" s="2"/>
      <c r="F196" s="2"/>
      <c r="G196" s="2"/>
    </row>
    <row r="197" spans="1:7" x14ac:dyDescent="0.25">
      <c r="A197" s="2" t="s">
        <v>157</v>
      </c>
      <c r="B197" s="2" t="s">
        <v>30</v>
      </c>
      <c r="C197" s="8">
        <f>((Posts!F98+Posts!G98+Posts!H98)/Posts!I98)*100</f>
        <v>8.7668609086629772</v>
      </c>
      <c r="D197" s="2"/>
      <c r="E197" s="2"/>
      <c r="F197" s="2"/>
      <c r="G197" s="2"/>
    </row>
    <row r="198" spans="1:7" x14ac:dyDescent="0.25">
      <c r="A198" s="2" t="s">
        <v>319</v>
      </c>
      <c r="B198" s="2" t="s">
        <v>14</v>
      </c>
      <c r="C198" s="8">
        <f>((Posts!F254+Posts!G254+Posts!H254)/Posts!I254)*100</f>
        <v>8.6897539284772201</v>
      </c>
      <c r="D198" s="2"/>
      <c r="E198" s="2"/>
      <c r="F198" s="2"/>
      <c r="G198" s="2"/>
    </row>
    <row r="199" spans="1:7" x14ac:dyDescent="0.25">
      <c r="A199" s="2" t="s">
        <v>144</v>
      </c>
      <c r="B199" s="2" t="s">
        <v>38</v>
      </c>
      <c r="C199" s="8">
        <f>((Posts!F85+Posts!G85+Posts!H85)/Posts!I85)*100</f>
        <v>8.673775693987821</v>
      </c>
      <c r="D199" s="2"/>
      <c r="E199" s="2"/>
      <c r="F199" s="2"/>
      <c r="G199" s="2"/>
    </row>
    <row r="200" spans="1:7" x14ac:dyDescent="0.25">
      <c r="A200" s="2" t="s">
        <v>224</v>
      </c>
      <c r="B200" s="2" t="s">
        <v>38</v>
      </c>
      <c r="C200" s="8">
        <f>((Posts!F163+Posts!G163+Posts!H163)/Posts!I163)*100</f>
        <v>8.6630570595585166</v>
      </c>
      <c r="D200" s="2"/>
      <c r="E200" s="2"/>
      <c r="F200" s="2"/>
      <c r="G200" s="2"/>
    </row>
    <row r="201" spans="1:7" x14ac:dyDescent="0.25">
      <c r="A201" s="2" t="s">
        <v>271</v>
      </c>
      <c r="B201" s="2" t="s">
        <v>25</v>
      </c>
      <c r="C201" s="8">
        <f>((Posts!F209+Posts!G209+Posts!H209)/Posts!I209)*100</f>
        <v>8.6537809426924373</v>
      </c>
      <c r="D201" s="2"/>
      <c r="E201" s="2"/>
      <c r="F201" s="2"/>
      <c r="G201" s="2"/>
    </row>
    <row r="202" spans="1:7" x14ac:dyDescent="0.25">
      <c r="A202" s="2" t="s">
        <v>305</v>
      </c>
      <c r="B202" s="2" t="s">
        <v>14</v>
      </c>
      <c r="C202" s="8">
        <f>((Posts!F241+Posts!G241+Posts!H241)/Posts!I241)*100</f>
        <v>8.6293505561535699</v>
      </c>
      <c r="D202" s="2"/>
      <c r="E202" s="2"/>
      <c r="F202" s="2"/>
      <c r="G202" s="2"/>
    </row>
    <row r="203" spans="1:7" x14ac:dyDescent="0.25">
      <c r="A203" s="2" t="s">
        <v>295</v>
      </c>
      <c r="B203" s="2" t="s">
        <v>30</v>
      </c>
      <c r="C203" s="8">
        <f>((Posts!F232+Posts!G232+Posts!H232)/Posts!I232)*100</f>
        <v>8.5734265734265733</v>
      </c>
      <c r="D203" s="2"/>
      <c r="E203" s="2"/>
      <c r="F203" s="2"/>
      <c r="G203" s="2"/>
    </row>
    <row r="204" spans="1:7" x14ac:dyDescent="0.25">
      <c r="A204" s="2" t="s">
        <v>166</v>
      </c>
      <c r="B204" s="2" t="s">
        <v>30</v>
      </c>
      <c r="C204" s="8">
        <f>((Posts!F107+Posts!G107+Posts!H107)/Posts!I107)*100</f>
        <v>8.5718409468138841</v>
      </c>
      <c r="D204" s="2"/>
      <c r="E204" s="2"/>
      <c r="F204" s="2"/>
      <c r="G204" s="2"/>
    </row>
    <row r="205" spans="1:7" x14ac:dyDescent="0.25">
      <c r="A205" s="2" t="s">
        <v>139</v>
      </c>
      <c r="B205" s="2" t="s">
        <v>30</v>
      </c>
      <c r="C205" s="8">
        <f>((Posts!F83+Posts!G83+Posts!H83)/Posts!I83)*100</f>
        <v>8.5586206896551715</v>
      </c>
      <c r="D205" s="2"/>
      <c r="E205" s="2"/>
      <c r="F205" s="2"/>
      <c r="G205" s="2"/>
    </row>
    <row r="206" spans="1:7" x14ac:dyDescent="0.25">
      <c r="A206" s="2" t="s">
        <v>261</v>
      </c>
      <c r="B206" s="2" t="s">
        <v>25</v>
      </c>
      <c r="C206" s="8">
        <f>((Posts!F200+Posts!G200+Posts!H200)/Posts!I200)*100</f>
        <v>8.5520696919660644</v>
      </c>
      <c r="D206" s="2"/>
      <c r="E206" s="2"/>
      <c r="F206" s="2"/>
      <c r="G206" s="2"/>
    </row>
    <row r="207" spans="1:7" x14ac:dyDescent="0.25">
      <c r="A207" s="2" t="s">
        <v>250</v>
      </c>
      <c r="B207" s="2" t="s">
        <v>25</v>
      </c>
      <c r="C207" s="8">
        <f>((Posts!F189+Posts!G189+Posts!H189)/Posts!I189)*100</f>
        <v>8.4946236559139781</v>
      </c>
      <c r="D207" s="2"/>
      <c r="E207" s="2"/>
      <c r="F207" s="2"/>
      <c r="G207" s="2"/>
    </row>
    <row r="208" spans="1:7" x14ac:dyDescent="0.25">
      <c r="A208" s="2" t="s">
        <v>248</v>
      </c>
      <c r="B208" s="2" t="s">
        <v>38</v>
      </c>
      <c r="C208" s="8">
        <f>((Posts!F187+Posts!G187+Posts!H187)/Posts!I187)*100</f>
        <v>8.4862714173059004</v>
      </c>
      <c r="D208" s="2"/>
      <c r="E208" s="2"/>
      <c r="F208" s="2"/>
      <c r="G208" s="2"/>
    </row>
    <row r="209" spans="1:7" x14ac:dyDescent="0.25">
      <c r="A209" s="2" t="s">
        <v>256</v>
      </c>
      <c r="B209" s="2" t="s">
        <v>25</v>
      </c>
      <c r="C209" s="8">
        <f>((Posts!F195+Posts!G195+Posts!H195)/Posts!I195)*100</f>
        <v>8.4203612479474561</v>
      </c>
      <c r="D209" s="2"/>
      <c r="E209" s="2"/>
      <c r="F209" s="2"/>
      <c r="G209" s="2"/>
    </row>
    <row r="210" spans="1:7" x14ac:dyDescent="0.25">
      <c r="A210" s="2" t="s">
        <v>336</v>
      </c>
      <c r="B210" s="2" t="s">
        <v>30</v>
      </c>
      <c r="C210" s="8">
        <f>((Posts!F269+Posts!G269+Posts!H269)/Posts!I269)*100</f>
        <v>8.4062694239588751</v>
      </c>
      <c r="D210" s="2"/>
      <c r="E210" s="2"/>
      <c r="F210" s="2"/>
      <c r="G210" s="2"/>
    </row>
    <row r="211" spans="1:7" x14ac:dyDescent="0.25">
      <c r="A211" s="2" t="s">
        <v>358</v>
      </c>
      <c r="B211" s="2" t="s">
        <v>30</v>
      </c>
      <c r="C211" s="8">
        <f>((Posts!F291+Posts!G291+Posts!H291)/Posts!I291)*100</f>
        <v>8.392194086937101</v>
      </c>
      <c r="D211" s="2"/>
      <c r="E211" s="2"/>
      <c r="F211" s="2"/>
      <c r="G211" s="2"/>
    </row>
    <row r="212" spans="1:7" x14ac:dyDescent="0.25">
      <c r="A212" s="2" t="s">
        <v>249</v>
      </c>
      <c r="B212" s="2" t="s">
        <v>14</v>
      </c>
      <c r="C212" s="8">
        <f>((Posts!F188+Posts!G188+Posts!H188)/Posts!I188)*100</f>
        <v>8.3726921425504504</v>
      </c>
      <c r="D212" s="2"/>
      <c r="E212" s="2"/>
      <c r="F212" s="2"/>
      <c r="G212" s="2"/>
    </row>
    <row r="213" spans="1:7" x14ac:dyDescent="0.25">
      <c r="A213" s="2" t="s">
        <v>368</v>
      </c>
      <c r="B213" s="2" t="s">
        <v>14</v>
      </c>
      <c r="C213" s="8">
        <f>((Posts!F301+Posts!G301+Posts!H301)/Posts!I301)*100</f>
        <v>8.3539958039290489</v>
      </c>
      <c r="D213" s="2"/>
      <c r="E213" s="2"/>
      <c r="F213" s="2"/>
      <c r="G213" s="2"/>
    </row>
    <row r="214" spans="1:7" x14ac:dyDescent="0.25">
      <c r="A214" s="2" t="s">
        <v>348</v>
      </c>
      <c r="B214" s="2" t="s">
        <v>25</v>
      </c>
      <c r="C214" s="8">
        <f>((Posts!F281+Posts!G281+Posts!H281)/Posts!I281)*100</f>
        <v>8.3274853801169577</v>
      </c>
      <c r="D214" s="2"/>
      <c r="E214" s="2"/>
      <c r="F214" s="2"/>
      <c r="G214" s="2"/>
    </row>
    <row r="215" spans="1:7" x14ac:dyDescent="0.25">
      <c r="A215" s="2" t="s">
        <v>329</v>
      </c>
      <c r="B215" s="2" t="s">
        <v>30</v>
      </c>
      <c r="C215" s="8">
        <f>((Posts!F262+Posts!G262+Posts!H262)/Posts!I262)*100</f>
        <v>8.2835359571399128</v>
      </c>
      <c r="D215" s="2"/>
      <c r="E215" s="2"/>
      <c r="F215" s="2"/>
      <c r="G215" s="2"/>
    </row>
    <row r="216" spans="1:7" x14ac:dyDescent="0.25">
      <c r="A216" s="2" t="s">
        <v>272</v>
      </c>
      <c r="B216" s="2" t="s">
        <v>14</v>
      </c>
      <c r="C216" s="8">
        <f>((Posts!F210+Posts!G210+Posts!H210)/Posts!I210)*100</f>
        <v>8.2753164556962027</v>
      </c>
      <c r="D216" s="2"/>
      <c r="E216" s="2"/>
      <c r="F216" s="2"/>
      <c r="G216" s="2"/>
    </row>
    <row r="217" spans="1:7" x14ac:dyDescent="0.25">
      <c r="A217" s="2" t="s">
        <v>276</v>
      </c>
      <c r="B217" s="2" t="s">
        <v>38</v>
      </c>
      <c r="C217" s="8">
        <f>((Posts!F214+Posts!G214+Posts!H214)/Posts!I214)*100</f>
        <v>8.2191481934019901</v>
      </c>
      <c r="D217" s="2"/>
      <c r="E217" s="2"/>
      <c r="F217" s="2"/>
      <c r="G217" s="2"/>
    </row>
    <row r="218" spans="1:7" x14ac:dyDescent="0.25">
      <c r="A218" s="2" t="s">
        <v>264</v>
      </c>
      <c r="B218" s="2" t="s">
        <v>38</v>
      </c>
      <c r="C218" s="8">
        <f>((Posts!F203+Posts!G203+Posts!H203)/Posts!I203)*100</f>
        <v>8.21084981293426</v>
      </c>
      <c r="D218" s="2"/>
      <c r="E218" s="2"/>
      <c r="F218" s="2"/>
      <c r="G218" s="2"/>
    </row>
    <row r="219" spans="1:7" x14ac:dyDescent="0.25">
      <c r="A219" s="2" t="s">
        <v>135</v>
      </c>
      <c r="B219" s="2" t="s">
        <v>14</v>
      </c>
      <c r="C219" s="8">
        <f>((Posts!F79+Posts!G79+Posts!H79)/Posts!I79)*100</f>
        <v>8.2075471698113205</v>
      </c>
      <c r="D219" s="2"/>
      <c r="E219" s="2"/>
      <c r="F219" s="2"/>
      <c r="G219" s="2"/>
    </row>
    <row r="220" spans="1:7" x14ac:dyDescent="0.25">
      <c r="A220" s="2" t="s">
        <v>121</v>
      </c>
      <c r="B220" s="2" t="s">
        <v>38</v>
      </c>
      <c r="C220" s="8">
        <f>((Posts!F65+Posts!G65+Posts!H65)/Posts!I65)*100</f>
        <v>8.2047718322909429</v>
      </c>
      <c r="D220" s="2"/>
      <c r="E220" s="2"/>
      <c r="F220" s="2"/>
      <c r="G220" s="2"/>
    </row>
    <row r="221" spans="1:7" x14ac:dyDescent="0.25">
      <c r="A221" s="2" t="s">
        <v>292</v>
      </c>
      <c r="B221" s="2" t="s">
        <v>30</v>
      </c>
      <c r="C221" s="8">
        <f>((Posts!F229+Posts!G229+Posts!H229)/Posts!I229)*100</f>
        <v>8.1808097615085966</v>
      </c>
      <c r="D221" s="2"/>
      <c r="E221" s="2"/>
      <c r="F221" s="2"/>
      <c r="G221" s="2"/>
    </row>
    <row r="222" spans="1:7" x14ac:dyDescent="0.25">
      <c r="A222" s="2" t="s">
        <v>133</v>
      </c>
      <c r="B222" s="2" t="s">
        <v>14</v>
      </c>
      <c r="C222" s="8">
        <f>((Posts!F77+Posts!G77+Posts!H77)/Posts!I77)*100</f>
        <v>8.1177520071364846</v>
      </c>
      <c r="D222" s="2"/>
      <c r="E222" s="2"/>
      <c r="F222" s="2"/>
      <c r="G222" s="2"/>
    </row>
    <row r="223" spans="1:7" x14ac:dyDescent="0.25">
      <c r="A223" s="2" t="s">
        <v>113</v>
      </c>
      <c r="B223" s="2" t="s">
        <v>14</v>
      </c>
      <c r="C223" s="8">
        <f>((Posts!F58+Posts!G58+Posts!H58)/Posts!I58)*100</f>
        <v>8.086283185840708</v>
      </c>
      <c r="D223" s="2"/>
      <c r="E223" s="2"/>
      <c r="F223" s="2"/>
      <c r="G223" s="2"/>
    </row>
    <row r="224" spans="1:7" x14ac:dyDescent="0.25">
      <c r="A224" s="2" t="s">
        <v>182</v>
      </c>
      <c r="B224" s="2" t="s">
        <v>30</v>
      </c>
      <c r="C224" s="8">
        <f>((Posts!F123+Posts!G123+Posts!H123)/Posts!I123)*100</f>
        <v>8.0565268065268061</v>
      </c>
      <c r="D224" s="2"/>
      <c r="E224" s="2"/>
      <c r="F224" s="2"/>
      <c r="G224" s="2"/>
    </row>
    <row r="225" spans="1:7" x14ac:dyDescent="0.25">
      <c r="A225" s="2" t="s">
        <v>70</v>
      </c>
      <c r="B225" s="2" t="s">
        <v>38</v>
      </c>
      <c r="C225" s="8">
        <f>((Posts!F23+Posts!G23+Posts!H23)/Posts!I23)*100</f>
        <v>8.0294585987261158</v>
      </c>
      <c r="D225" s="2"/>
      <c r="E225" s="2"/>
      <c r="F225" s="2"/>
      <c r="G225" s="2"/>
    </row>
    <row r="226" spans="1:7" x14ac:dyDescent="0.25">
      <c r="A226" s="2" t="s">
        <v>178</v>
      </c>
      <c r="B226" s="2" t="s">
        <v>38</v>
      </c>
      <c r="C226" s="8">
        <f>((Posts!F119+Posts!G119+Posts!H119)/Posts!I119)*100</f>
        <v>8.0158206987475271</v>
      </c>
      <c r="D226" s="2"/>
      <c r="E226" s="2"/>
      <c r="F226" s="2"/>
      <c r="G226" s="2"/>
    </row>
    <row r="227" spans="1:7" x14ac:dyDescent="0.25">
      <c r="A227" s="2" t="s">
        <v>323</v>
      </c>
      <c r="B227" s="2" t="s">
        <v>38</v>
      </c>
      <c r="C227" s="8">
        <f>((Posts!F258+Posts!G258+Posts!H258)/Posts!I258)*100</f>
        <v>7.991504854368932</v>
      </c>
      <c r="D227" s="2"/>
      <c r="E227" s="2"/>
      <c r="F227" s="2"/>
      <c r="G227" s="2"/>
    </row>
    <row r="228" spans="1:7" x14ac:dyDescent="0.25">
      <c r="A228" s="2" t="s">
        <v>151</v>
      </c>
      <c r="B228" s="2" t="s">
        <v>38</v>
      </c>
      <c r="C228" s="8">
        <f>((Posts!F92+Posts!G92+Posts!H92)/Posts!I92)*100</f>
        <v>7.9849564528899446</v>
      </c>
      <c r="D228" s="2"/>
      <c r="E228" s="2"/>
      <c r="F228" s="2"/>
      <c r="G228" s="2"/>
    </row>
    <row r="229" spans="1:7" x14ac:dyDescent="0.25">
      <c r="A229" s="2" t="s">
        <v>342</v>
      </c>
      <c r="B229" s="2" t="s">
        <v>14</v>
      </c>
      <c r="C229" s="8">
        <f>((Posts!F275+Posts!G275+Posts!H275)/Posts!I275)*100</f>
        <v>7.8849599245638853</v>
      </c>
      <c r="D229" s="2"/>
      <c r="E229" s="2"/>
      <c r="F229" s="2"/>
      <c r="G229" s="2"/>
    </row>
    <row r="230" spans="1:7" x14ac:dyDescent="0.25">
      <c r="A230" s="2" t="s">
        <v>106</v>
      </c>
      <c r="B230" s="2" t="s">
        <v>38</v>
      </c>
      <c r="C230" s="8">
        <f>((Posts!F52+Posts!G52+Posts!H52)/Posts!I52)*100</f>
        <v>7.8689839572192515</v>
      </c>
      <c r="D230" s="2"/>
      <c r="E230" s="2"/>
      <c r="F230" s="2"/>
      <c r="G230" s="2"/>
    </row>
    <row r="231" spans="1:7" x14ac:dyDescent="0.25">
      <c r="A231" s="2" t="s">
        <v>137</v>
      </c>
      <c r="B231" s="2" t="s">
        <v>30</v>
      </c>
      <c r="C231" s="8">
        <f>((Posts!F81+Posts!G81+Posts!H81)/Posts!I81)*100</f>
        <v>7.7533348349475686</v>
      </c>
      <c r="D231" s="2"/>
      <c r="E231" s="2"/>
      <c r="F231" s="2"/>
      <c r="G231" s="2"/>
    </row>
    <row r="232" spans="1:7" x14ac:dyDescent="0.25">
      <c r="A232" s="2" t="s">
        <v>294</v>
      </c>
      <c r="B232" s="2" t="s">
        <v>38</v>
      </c>
      <c r="C232" s="8">
        <f>((Posts!F231+Posts!G231+Posts!H231)/Posts!I231)*100</f>
        <v>7.751257751257751</v>
      </c>
      <c r="D232" s="2"/>
      <c r="E232" s="2"/>
      <c r="F232" s="2"/>
      <c r="G232" s="2"/>
    </row>
    <row r="233" spans="1:7" x14ac:dyDescent="0.25">
      <c r="A233" s="2" t="s">
        <v>211</v>
      </c>
      <c r="B233" s="2" t="s">
        <v>14</v>
      </c>
      <c r="C233" s="8">
        <f>((Posts!F150+Posts!G150+Posts!H150)/Posts!I150)*100</f>
        <v>7.7291421856639246</v>
      </c>
      <c r="D233" s="2"/>
      <c r="E233" s="2"/>
      <c r="F233" s="2"/>
      <c r="G233" s="2"/>
    </row>
    <row r="234" spans="1:7" x14ac:dyDescent="0.25">
      <c r="A234" s="2" t="s">
        <v>69</v>
      </c>
      <c r="B234" s="2" t="s">
        <v>30</v>
      </c>
      <c r="C234" s="8">
        <f>((Posts!F22+Posts!G22+Posts!H22)/Posts!I22)*100</f>
        <v>7.7249552156538517</v>
      </c>
      <c r="D234" s="2"/>
      <c r="E234" s="2"/>
      <c r="F234" s="2"/>
      <c r="G234" s="2"/>
    </row>
    <row r="235" spans="1:7" x14ac:dyDescent="0.25">
      <c r="A235" s="2" t="s">
        <v>71</v>
      </c>
      <c r="B235" s="2" t="s">
        <v>38</v>
      </c>
      <c r="C235" s="8">
        <f>((Posts!F24+Posts!G24+Posts!H24)/Posts!I24)*100</f>
        <v>7.6867995018679958</v>
      </c>
      <c r="D235" s="2"/>
      <c r="E235" s="2"/>
      <c r="F235" s="2"/>
      <c r="G235" s="2"/>
    </row>
    <row r="236" spans="1:7" x14ac:dyDescent="0.25">
      <c r="A236" s="2" t="s">
        <v>87</v>
      </c>
      <c r="B236" s="2" t="s">
        <v>30</v>
      </c>
      <c r="C236" s="8">
        <f>((Posts!F37+Posts!G37+Posts!H37)/Posts!I37)*100</f>
        <v>7.6523535487678913</v>
      </c>
      <c r="D236" s="2"/>
      <c r="E236" s="2"/>
      <c r="F236" s="2"/>
      <c r="G236" s="2"/>
    </row>
    <row r="237" spans="1:7" x14ac:dyDescent="0.25">
      <c r="A237" s="2" t="s">
        <v>19</v>
      </c>
      <c r="B237" s="2" t="s">
        <v>14</v>
      </c>
      <c r="C237" s="8">
        <f>((Posts!F3+Posts!G3+Posts!H3)/Posts!I3)*100</f>
        <v>7.6097681302417373</v>
      </c>
      <c r="D237" s="2"/>
      <c r="E237" s="2"/>
      <c r="F237" s="2"/>
      <c r="G237" s="2"/>
    </row>
    <row r="238" spans="1:7" x14ac:dyDescent="0.25">
      <c r="A238" s="2" t="s">
        <v>298</v>
      </c>
      <c r="B238" s="2" t="s">
        <v>38</v>
      </c>
      <c r="C238" s="8">
        <f>((Posts!F235+Posts!G235+Posts!H235)/Posts!I235)*100</f>
        <v>7.5968222442899709</v>
      </c>
      <c r="D238" s="2"/>
      <c r="E238" s="2"/>
      <c r="F238" s="2"/>
      <c r="G238" s="2"/>
    </row>
    <row r="239" spans="1:7" x14ac:dyDescent="0.25">
      <c r="A239" s="2" t="s">
        <v>54</v>
      </c>
      <c r="B239" s="2" t="s">
        <v>25</v>
      </c>
      <c r="C239" s="8">
        <f>((Posts!F14+Posts!G14+Posts!H14)/Posts!I14)*100</f>
        <v>7.5868578363072494</v>
      </c>
      <c r="D239" s="2"/>
      <c r="E239" s="2"/>
      <c r="F239" s="2"/>
      <c r="G239" s="2"/>
    </row>
    <row r="240" spans="1:7" x14ac:dyDescent="0.25">
      <c r="A240" s="2" t="s">
        <v>61</v>
      </c>
      <c r="B240" s="2" t="s">
        <v>38</v>
      </c>
      <c r="C240" s="8">
        <f>((Posts!F17+Posts!G17+Posts!H17)/Posts!I17)*100</f>
        <v>7.5843713789107756</v>
      </c>
      <c r="D240" s="2"/>
      <c r="E240" s="2"/>
      <c r="F240" s="2"/>
      <c r="G240" s="2"/>
    </row>
    <row r="241" spans="1:7" x14ac:dyDescent="0.25">
      <c r="A241" s="2" t="s">
        <v>241</v>
      </c>
      <c r="B241" s="2" t="s">
        <v>38</v>
      </c>
      <c r="C241" s="8">
        <f>((Posts!F180+Posts!G180+Posts!H180)/Posts!I180)*100</f>
        <v>7.5280481001673589</v>
      </c>
      <c r="D241" s="2"/>
      <c r="E241" s="2"/>
      <c r="F241" s="2"/>
      <c r="G241" s="2"/>
    </row>
    <row r="242" spans="1:7" x14ac:dyDescent="0.25">
      <c r="A242" s="2" t="s">
        <v>97</v>
      </c>
      <c r="B242" s="2" t="s">
        <v>38</v>
      </c>
      <c r="C242" s="8">
        <f>((Posts!F46+Posts!G46+Posts!H46)/Posts!I46)*100</f>
        <v>7.5229902106199935</v>
      </c>
      <c r="D242" s="2"/>
      <c r="E242" s="2"/>
      <c r="F242" s="2"/>
      <c r="G242" s="2"/>
    </row>
    <row r="243" spans="1:7" x14ac:dyDescent="0.25">
      <c r="A243" s="2" t="s">
        <v>230</v>
      </c>
      <c r="B243" s="2" t="s">
        <v>38</v>
      </c>
      <c r="C243" s="8">
        <f>((Posts!F169+Posts!G169+Posts!H169)/Posts!I169)*100</f>
        <v>7.412002573292896</v>
      </c>
      <c r="D243" s="2"/>
      <c r="E243" s="2"/>
      <c r="F243" s="2"/>
      <c r="G243" s="2"/>
    </row>
    <row r="244" spans="1:7" x14ac:dyDescent="0.25">
      <c r="A244" s="2" t="s">
        <v>171</v>
      </c>
      <c r="B244" s="2" t="s">
        <v>25</v>
      </c>
      <c r="C244" s="8">
        <f>((Posts!F112+Posts!G112+Posts!H112)/Posts!I112)*100</f>
        <v>7.4071349760941523</v>
      </c>
      <c r="D244" s="2"/>
      <c r="E244" s="2"/>
      <c r="F244" s="2"/>
      <c r="G244" s="2"/>
    </row>
    <row r="245" spans="1:7" x14ac:dyDescent="0.25">
      <c r="A245" s="2" t="s">
        <v>161</v>
      </c>
      <c r="B245" s="2" t="s">
        <v>25</v>
      </c>
      <c r="C245" s="8">
        <f>((Posts!F102+Posts!G102+Posts!H102)/Posts!I102)*100</f>
        <v>7.3707865168539328</v>
      </c>
      <c r="D245" s="2"/>
      <c r="E245" s="2"/>
      <c r="F245" s="2"/>
      <c r="G245" s="2"/>
    </row>
    <row r="246" spans="1:7" x14ac:dyDescent="0.25">
      <c r="A246" s="2" t="s">
        <v>101</v>
      </c>
      <c r="B246" s="2" t="s">
        <v>14</v>
      </c>
      <c r="C246" s="8">
        <f>((Posts!F49+Posts!G49+Posts!H49)/Posts!I49)*100</f>
        <v>7.3495276653171393</v>
      </c>
      <c r="D246" s="2"/>
      <c r="E246" s="2"/>
      <c r="F246" s="2"/>
      <c r="G246" s="2"/>
    </row>
    <row r="247" spans="1:7" x14ac:dyDescent="0.25">
      <c r="A247" s="2" t="s">
        <v>316</v>
      </c>
      <c r="B247" s="2" t="s">
        <v>38</v>
      </c>
      <c r="C247" s="8">
        <f>((Posts!F251+Posts!G251+Posts!H251)/Posts!I251)*100</f>
        <v>7.3170731707317067</v>
      </c>
      <c r="D247" s="2"/>
      <c r="E247" s="2"/>
      <c r="F247" s="2"/>
      <c r="G247" s="2"/>
    </row>
    <row r="248" spans="1:7" x14ac:dyDescent="0.25">
      <c r="A248" s="2" t="s">
        <v>357</v>
      </c>
      <c r="B248" s="2" t="s">
        <v>38</v>
      </c>
      <c r="C248" s="8">
        <f>((Posts!F290+Posts!G290+Posts!H290)/Posts!I290)*100</f>
        <v>7.3018902217375503</v>
      </c>
      <c r="D248" s="2"/>
      <c r="E248" s="2"/>
      <c r="F248" s="2"/>
      <c r="G248" s="2"/>
    </row>
    <row r="249" spans="1:7" x14ac:dyDescent="0.25">
      <c r="A249" s="2" t="s">
        <v>297</v>
      </c>
      <c r="B249" s="2" t="s">
        <v>38</v>
      </c>
      <c r="C249" s="8">
        <f>((Posts!F234+Posts!G234+Posts!H234)/Posts!I234)*100</f>
        <v>7.2969143576826196</v>
      </c>
      <c r="D249" s="2"/>
      <c r="E249" s="2"/>
      <c r="F249" s="2"/>
      <c r="G249" s="2"/>
    </row>
    <row r="250" spans="1:7" x14ac:dyDescent="0.25">
      <c r="A250" s="2" t="s">
        <v>234</v>
      </c>
      <c r="B250" s="2" t="s">
        <v>38</v>
      </c>
      <c r="C250" s="8">
        <f>((Posts!F173+Posts!G173+Posts!H173)/Posts!I173)*100</f>
        <v>7.2739802071170159</v>
      </c>
      <c r="D250" s="2"/>
      <c r="E250" s="2"/>
      <c r="F250" s="2"/>
      <c r="G250" s="2"/>
    </row>
    <row r="251" spans="1:7" x14ac:dyDescent="0.25">
      <c r="A251" s="2" t="s">
        <v>303</v>
      </c>
      <c r="B251" s="2" t="s">
        <v>14</v>
      </c>
      <c r="C251" s="8">
        <f>((Posts!F239+Posts!G239+Posts!H239)/Posts!I239)*100</f>
        <v>7.2579365079365079</v>
      </c>
      <c r="D251" s="2"/>
      <c r="E251" s="2"/>
      <c r="F251" s="2"/>
      <c r="G251" s="2"/>
    </row>
    <row r="252" spans="1:7" x14ac:dyDescent="0.25">
      <c r="A252" s="2" t="s">
        <v>251</v>
      </c>
      <c r="B252" s="2" t="s">
        <v>38</v>
      </c>
      <c r="C252" s="8">
        <f>((Posts!F190+Posts!G190+Posts!H190)/Posts!I190)*100</f>
        <v>7.2503306878306875</v>
      </c>
      <c r="D252" s="2"/>
      <c r="E252" s="2"/>
      <c r="F252" s="2"/>
      <c r="G252" s="2"/>
    </row>
    <row r="253" spans="1:7" x14ac:dyDescent="0.25">
      <c r="A253" s="2" t="s">
        <v>90</v>
      </c>
      <c r="B253" s="2" t="s">
        <v>38</v>
      </c>
      <c r="C253" s="8">
        <f>((Posts!F40+Posts!G40+Posts!H40)/Posts!I40)*100</f>
        <v>7.2126493695121141</v>
      </c>
      <c r="D253" s="2"/>
      <c r="E253" s="2"/>
      <c r="F253" s="2"/>
      <c r="G253" s="2"/>
    </row>
    <row r="254" spans="1:7" x14ac:dyDescent="0.25">
      <c r="A254" s="2" t="s">
        <v>278</v>
      </c>
      <c r="B254" s="2" t="s">
        <v>38</v>
      </c>
      <c r="C254" s="8">
        <f>((Posts!F216+Posts!G216+Posts!H216)/Posts!I216)*100</f>
        <v>7.2116777745580993</v>
      </c>
      <c r="D254" s="2"/>
      <c r="E254" s="2"/>
      <c r="F254" s="2"/>
      <c r="G254" s="2"/>
    </row>
    <row r="255" spans="1:7" x14ac:dyDescent="0.25">
      <c r="A255" s="2" t="s">
        <v>73</v>
      </c>
      <c r="B255" s="2" t="s">
        <v>38</v>
      </c>
      <c r="C255" s="8">
        <f>((Posts!F25+Posts!G25+Posts!H25)/Posts!I25)*100</f>
        <v>7.2070332803659207</v>
      </c>
      <c r="D255" s="2"/>
      <c r="E255" s="2"/>
      <c r="F255" s="2"/>
      <c r="G255" s="2"/>
    </row>
    <row r="256" spans="1:7" x14ac:dyDescent="0.25">
      <c r="A256" s="2" t="s">
        <v>159</v>
      </c>
      <c r="B256" s="2" t="s">
        <v>25</v>
      </c>
      <c r="C256" s="8">
        <f>((Posts!F100+Posts!G100+Posts!H100)/Posts!I100)*100</f>
        <v>7.2000119875329656</v>
      </c>
      <c r="D256" s="2"/>
      <c r="E256" s="2"/>
      <c r="F256" s="2"/>
      <c r="G256" s="2"/>
    </row>
    <row r="257" spans="1:7" x14ac:dyDescent="0.25">
      <c r="A257" s="2" t="s">
        <v>48</v>
      </c>
      <c r="B257" s="2" t="s">
        <v>38</v>
      </c>
      <c r="C257" s="8">
        <f>((Posts!F11+Posts!G11+Posts!H11)/Posts!I11)*100</f>
        <v>7.1986351720598645</v>
      </c>
      <c r="D257" s="2"/>
      <c r="E257" s="2"/>
      <c r="F257" s="2"/>
      <c r="G257" s="2"/>
    </row>
    <row r="258" spans="1:7" x14ac:dyDescent="0.25">
      <c r="A258" s="2" t="s">
        <v>359</v>
      </c>
      <c r="B258" s="2" t="s">
        <v>38</v>
      </c>
      <c r="C258" s="8">
        <f>((Posts!F292+Posts!G292+Posts!H292)/Posts!I292)*100</f>
        <v>7.1956537279290869</v>
      </c>
      <c r="D258" s="2"/>
      <c r="E258" s="2"/>
      <c r="F258" s="2"/>
      <c r="G258" s="2"/>
    </row>
    <row r="259" spans="1:7" x14ac:dyDescent="0.25">
      <c r="A259" s="2" t="s">
        <v>193</v>
      </c>
      <c r="B259" s="2" t="s">
        <v>38</v>
      </c>
      <c r="C259" s="8">
        <f>((Posts!F134+Posts!G134+Posts!H134)/Posts!I134)*100</f>
        <v>7.1723509223509225</v>
      </c>
      <c r="D259" s="2"/>
      <c r="E259" s="2"/>
      <c r="F259" s="2"/>
      <c r="G259" s="2"/>
    </row>
    <row r="260" spans="1:7" x14ac:dyDescent="0.25">
      <c r="A260" s="2" t="s">
        <v>76</v>
      </c>
      <c r="B260" s="2" t="s">
        <v>25</v>
      </c>
      <c r="C260" s="8">
        <f>((Posts!F28+Posts!G28+Posts!H28)/Posts!I28)*100</f>
        <v>7.1501685934489396</v>
      </c>
      <c r="D260" s="2"/>
      <c r="E260" s="2"/>
      <c r="F260" s="2"/>
      <c r="G260" s="2"/>
    </row>
    <row r="261" spans="1:7" x14ac:dyDescent="0.25">
      <c r="A261" s="2" t="s">
        <v>194</v>
      </c>
      <c r="B261" s="2" t="s">
        <v>14</v>
      </c>
      <c r="C261" s="8">
        <f>((Posts!F135+Posts!G135+Posts!H135)/Posts!I135)*100</f>
        <v>7.1133744304476014</v>
      </c>
      <c r="D261" s="2"/>
      <c r="E261" s="2"/>
      <c r="F261" s="2"/>
      <c r="G261" s="2"/>
    </row>
    <row r="262" spans="1:7" x14ac:dyDescent="0.25">
      <c r="A262" s="2" t="s">
        <v>150</v>
      </c>
      <c r="B262" s="2" t="s">
        <v>30</v>
      </c>
      <c r="C262" s="8">
        <f>((Posts!F91+Posts!G91+Posts!H91)/Posts!I91)*100</f>
        <v>7.0822181933293038</v>
      </c>
      <c r="D262" s="2"/>
      <c r="E262" s="2"/>
      <c r="F262" s="2"/>
      <c r="G262" s="2"/>
    </row>
    <row r="263" spans="1:7" x14ac:dyDescent="0.25">
      <c r="A263" s="2" t="s">
        <v>85</v>
      </c>
      <c r="B263" s="2" t="s">
        <v>38</v>
      </c>
      <c r="C263" s="8">
        <f>((Posts!F35+Posts!G35+Posts!H35)/Posts!I35)*100</f>
        <v>7.0554210384718861</v>
      </c>
      <c r="D263" s="2"/>
      <c r="E263" s="2"/>
      <c r="F263" s="2"/>
      <c r="G263" s="2"/>
    </row>
    <row r="264" spans="1:7" x14ac:dyDescent="0.25">
      <c r="A264" s="2" t="s">
        <v>41</v>
      </c>
      <c r="B264" s="2" t="s">
        <v>14</v>
      </c>
      <c r="C264" s="8">
        <f>((Posts!F8+Posts!G8+Posts!H8)/Posts!I8)*100</f>
        <v>7.0272020725388602</v>
      </c>
      <c r="D264" s="2"/>
      <c r="E264" s="2"/>
      <c r="F264" s="2"/>
      <c r="G264" s="2"/>
    </row>
    <row r="265" spans="1:7" x14ac:dyDescent="0.25">
      <c r="A265" s="2" t="s">
        <v>203</v>
      </c>
      <c r="B265" s="2" t="s">
        <v>25</v>
      </c>
      <c r="C265" s="8">
        <f>((Posts!F143+Posts!G143+Posts!H143)/Posts!I143)*100</f>
        <v>6.9438087973557074</v>
      </c>
      <c r="D265" s="2"/>
      <c r="E265" s="2"/>
      <c r="F265" s="2"/>
      <c r="G265" s="2"/>
    </row>
    <row r="266" spans="1:7" x14ac:dyDescent="0.25">
      <c r="A266" s="2" t="s">
        <v>187</v>
      </c>
      <c r="B266" s="2" t="s">
        <v>38</v>
      </c>
      <c r="C266" s="8">
        <f>((Posts!F128+Posts!G128+Posts!H128)/Posts!I128)*100</f>
        <v>6.9311459413307315</v>
      </c>
      <c r="D266" s="2"/>
      <c r="E266" s="2"/>
      <c r="F266" s="2"/>
      <c r="G266" s="2"/>
    </row>
    <row r="267" spans="1:7" x14ac:dyDescent="0.25">
      <c r="A267" s="2" t="s">
        <v>232</v>
      </c>
      <c r="B267" s="2" t="s">
        <v>14</v>
      </c>
      <c r="C267" s="8">
        <f>((Posts!F171+Posts!G171+Posts!H171)/Posts!I171)*100</f>
        <v>6.8655003457763781</v>
      </c>
      <c r="D267" s="2"/>
      <c r="E267" s="2"/>
      <c r="F267" s="2"/>
      <c r="G267" s="2"/>
    </row>
    <row r="268" spans="1:7" x14ac:dyDescent="0.25">
      <c r="A268" s="2" t="s">
        <v>155</v>
      </c>
      <c r="B268" s="2" t="s">
        <v>30</v>
      </c>
      <c r="C268" s="8">
        <f>((Posts!F96+Posts!G96+Posts!H96)/Posts!I96)*100</f>
        <v>6.8108806480899506</v>
      </c>
      <c r="D268" s="2"/>
      <c r="E268" s="2"/>
      <c r="F268" s="2"/>
      <c r="G268" s="2"/>
    </row>
    <row r="269" spans="1:7" x14ac:dyDescent="0.25">
      <c r="A269" s="2" t="s">
        <v>356</v>
      </c>
      <c r="B269" s="2" t="s">
        <v>25</v>
      </c>
      <c r="C269" s="8">
        <f>((Posts!F289+Posts!G289+Posts!H289)/Posts!I289)*100</f>
        <v>6.8003254300325429</v>
      </c>
      <c r="D269" s="2"/>
      <c r="E269" s="2"/>
      <c r="F269" s="2"/>
      <c r="G269" s="2"/>
    </row>
    <row r="270" spans="1:7" x14ac:dyDescent="0.25">
      <c r="A270" s="2" t="s">
        <v>302</v>
      </c>
      <c r="B270" s="2" t="s">
        <v>30</v>
      </c>
      <c r="C270" s="8">
        <f>((Posts!F238+Posts!G238+Posts!H238)/Posts!I238)*100</f>
        <v>6.7234398994834565</v>
      </c>
      <c r="D270" s="2"/>
      <c r="E270" s="2"/>
      <c r="F270" s="2"/>
      <c r="G270" s="2"/>
    </row>
    <row r="271" spans="1:7" x14ac:dyDescent="0.25">
      <c r="A271" s="2" t="s">
        <v>338</v>
      </c>
      <c r="B271" s="2" t="s">
        <v>25</v>
      </c>
      <c r="C271" s="8">
        <f>((Posts!F271+Posts!G271+Posts!H271)/Posts!I271)*100</f>
        <v>6.7103868574456813</v>
      </c>
      <c r="D271" s="2"/>
      <c r="E271" s="2"/>
      <c r="F271" s="2"/>
      <c r="G271" s="2"/>
    </row>
    <row r="272" spans="1:7" x14ac:dyDescent="0.25">
      <c r="A272" s="2" t="s">
        <v>35</v>
      </c>
      <c r="B272" s="2" t="s">
        <v>25</v>
      </c>
      <c r="C272" s="8">
        <f>((Posts!F6+Posts!G6+Posts!H6)/Posts!I6)*100</f>
        <v>6.5617093055946025</v>
      </c>
      <c r="D272" s="2"/>
      <c r="E272" s="2"/>
      <c r="F272" s="2"/>
      <c r="G272" s="2"/>
    </row>
    <row r="273" spans="1:7" x14ac:dyDescent="0.25">
      <c r="A273" s="2" t="s">
        <v>146</v>
      </c>
      <c r="B273" s="2" t="s">
        <v>25</v>
      </c>
      <c r="C273" s="8">
        <f>((Posts!F87+Posts!G87+Posts!H87)/Posts!I87)*100</f>
        <v>6.5515821264328364</v>
      </c>
      <c r="D273" s="2"/>
      <c r="E273" s="2"/>
      <c r="F273" s="2"/>
      <c r="G273" s="2"/>
    </row>
    <row r="274" spans="1:7" x14ac:dyDescent="0.25">
      <c r="A274" s="2" t="s">
        <v>205</v>
      </c>
      <c r="B274" s="2" t="s">
        <v>25</v>
      </c>
      <c r="C274" s="8">
        <f>((Posts!F145+Posts!G145+Posts!H145)/Posts!I145)*100</f>
        <v>6.5455787978772246</v>
      </c>
      <c r="D274" s="2"/>
      <c r="E274" s="2"/>
      <c r="F274" s="2"/>
      <c r="G274" s="2"/>
    </row>
    <row r="275" spans="1:7" x14ac:dyDescent="0.25">
      <c r="A275" s="2" t="s">
        <v>259</v>
      </c>
      <c r="B275" s="2" t="s">
        <v>14</v>
      </c>
      <c r="C275" s="8">
        <f>((Posts!F198+Posts!G198+Posts!H198)/Posts!I198)*100</f>
        <v>6.488452065616432</v>
      </c>
      <c r="D275" s="2"/>
      <c r="E275" s="2"/>
      <c r="F275" s="2"/>
      <c r="G275" s="2"/>
    </row>
    <row r="276" spans="1:7" x14ac:dyDescent="0.25">
      <c r="A276" s="2" t="s">
        <v>195</v>
      </c>
      <c r="B276" s="2" t="s">
        <v>38</v>
      </c>
      <c r="C276" s="8">
        <f>((Posts!F136+Posts!G136+Posts!H136)/Posts!I136)*100</f>
        <v>6.4614816573041116</v>
      </c>
      <c r="D276" s="2"/>
      <c r="E276" s="2"/>
      <c r="F276" s="2"/>
      <c r="G276" s="2"/>
    </row>
    <row r="277" spans="1:7" x14ac:dyDescent="0.25">
      <c r="A277" s="2" t="s">
        <v>130</v>
      </c>
      <c r="B277" s="2" t="s">
        <v>38</v>
      </c>
      <c r="C277" s="8">
        <f>((Posts!F74+Posts!G74+Posts!H74)/Posts!I74)*100</f>
        <v>6.4265122330790625</v>
      </c>
      <c r="D277" s="2"/>
      <c r="E277" s="2"/>
      <c r="F277" s="2"/>
      <c r="G277" s="2"/>
    </row>
    <row r="278" spans="1:7" x14ac:dyDescent="0.25">
      <c r="A278" s="2" t="s">
        <v>335</v>
      </c>
      <c r="B278" s="2" t="s">
        <v>14</v>
      </c>
      <c r="C278" s="8">
        <f>((Posts!F268+Posts!G268+Posts!H268)/Posts!I268)*100</f>
        <v>6.3947934081681392</v>
      </c>
      <c r="D278" s="2"/>
      <c r="E278" s="2"/>
      <c r="F278" s="2"/>
      <c r="G278" s="2"/>
    </row>
    <row r="279" spans="1:7" x14ac:dyDescent="0.25">
      <c r="A279" s="2" t="s">
        <v>67</v>
      </c>
      <c r="B279" s="2" t="s">
        <v>30</v>
      </c>
      <c r="C279" s="8">
        <f>((Posts!F21+Posts!G21+Posts!H21)/Posts!I21)*100</f>
        <v>6.3809622724794224</v>
      </c>
      <c r="D279" s="2"/>
      <c r="E279" s="2"/>
      <c r="F279" s="2"/>
      <c r="G279" s="2"/>
    </row>
    <row r="280" spans="1:7" x14ac:dyDescent="0.25">
      <c r="A280" s="2" t="s">
        <v>124</v>
      </c>
      <c r="B280" s="2" t="s">
        <v>38</v>
      </c>
      <c r="C280" s="8">
        <f>((Posts!F68+Posts!G68+Posts!H68)/Posts!I68)*100</f>
        <v>6.3749764195434819</v>
      </c>
      <c r="D280" s="2"/>
      <c r="E280" s="2"/>
      <c r="F280" s="2"/>
      <c r="G280" s="2"/>
    </row>
    <row r="281" spans="1:7" x14ac:dyDescent="0.25">
      <c r="A281" s="2" t="s">
        <v>212</v>
      </c>
      <c r="B281" s="2" t="s">
        <v>25</v>
      </c>
      <c r="C281" s="8">
        <f>((Posts!F151+Posts!G151+Posts!H151)/Posts!I151)*100</f>
        <v>6.3713620488940625</v>
      </c>
      <c r="D281" s="2"/>
      <c r="E281" s="2"/>
      <c r="F281" s="2"/>
      <c r="G281" s="2"/>
    </row>
    <row r="282" spans="1:7" x14ac:dyDescent="0.25">
      <c r="A282" s="2" t="s">
        <v>349</v>
      </c>
      <c r="B282" s="2" t="s">
        <v>25</v>
      </c>
      <c r="C282" s="8">
        <f>((Posts!F282+Posts!G282+Posts!H282)/Posts!I282)*100</f>
        <v>6.3118551273952415</v>
      </c>
      <c r="D282" s="2"/>
      <c r="E282" s="2"/>
      <c r="F282" s="2"/>
      <c r="G282" s="2"/>
    </row>
    <row r="283" spans="1:7" x14ac:dyDescent="0.25">
      <c r="A283" s="2" t="s">
        <v>280</v>
      </c>
      <c r="B283" s="2" t="s">
        <v>38</v>
      </c>
      <c r="C283" s="8">
        <f>((Posts!F218+Posts!G218+Posts!H218)/Posts!I218)*100</f>
        <v>6.2603126356925749</v>
      </c>
      <c r="D283" s="2"/>
      <c r="E283" s="2"/>
      <c r="F283" s="2"/>
      <c r="G283" s="2"/>
    </row>
    <row r="284" spans="1:7" x14ac:dyDescent="0.25">
      <c r="A284" s="2" t="s">
        <v>262</v>
      </c>
      <c r="B284" s="2" t="s">
        <v>38</v>
      </c>
      <c r="C284" s="8">
        <f>((Posts!F201+Posts!G201+Posts!H201)/Posts!I201)*100</f>
        <v>6.246991874522239</v>
      </c>
      <c r="D284" s="2"/>
      <c r="E284" s="2"/>
      <c r="F284" s="2"/>
      <c r="G284" s="2"/>
    </row>
    <row r="285" spans="1:7" x14ac:dyDescent="0.25">
      <c r="A285" s="2" t="s">
        <v>167</v>
      </c>
      <c r="B285" s="2" t="s">
        <v>25</v>
      </c>
      <c r="C285" s="8">
        <f>((Posts!F108+Posts!G108+Posts!H108)/Posts!I108)*100</f>
        <v>6.2467323109097244</v>
      </c>
      <c r="D285" s="2"/>
      <c r="E285" s="2"/>
      <c r="F285" s="2"/>
      <c r="G285" s="2"/>
    </row>
    <row r="286" spans="1:7" x14ac:dyDescent="0.25">
      <c r="A286" s="2" t="s">
        <v>175</v>
      </c>
      <c r="B286" s="2" t="s">
        <v>14</v>
      </c>
      <c r="C286" s="8">
        <f>((Posts!F116+Posts!G116+Posts!H116)/Posts!I116)*100</f>
        <v>6.2150491965739363</v>
      </c>
      <c r="D286" s="2"/>
      <c r="E286" s="2"/>
      <c r="F286" s="2"/>
      <c r="G286" s="2"/>
    </row>
    <row r="287" spans="1:7" x14ac:dyDescent="0.25">
      <c r="A287" s="2" t="s">
        <v>287</v>
      </c>
      <c r="B287" s="2" t="s">
        <v>14</v>
      </c>
      <c r="C287" s="8">
        <f>((Posts!F224+Posts!G224+Posts!H224)/Posts!I224)*100</f>
        <v>6.2129685107516144</v>
      </c>
      <c r="D287" s="2"/>
      <c r="E287" s="2"/>
      <c r="F287" s="2"/>
      <c r="G287" s="2"/>
    </row>
    <row r="288" spans="1:7" x14ac:dyDescent="0.25">
      <c r="A288" s="2" t="s">
        <v>347</v>
      </c>
      <c r="B288" s="2" t="s">
        <v>25</v>
      </c>
      <c r="C288" s="8">
        <f>((Posts!F280+Posts!G280+Posts!H280)/Posts!I280)*100</f>
        <v>5.9928644240570845</v>
      </c>
      <c r="D288" s="2"/>
      <c r="E288" s="2"/>
      <c r="F288" s="2"/>
      <c r="G288" s="2"/>
    </row>
    <row r="289" spans="1:7" x14ac:dyDescent="0.25">
      <c r="A289" s="2" t="s">
        <v>74</v>
      </c>
      <c r="B289" s="2" t="s">
        <v>14</v>
      </c>
      <c r="C289" s="8">
        <f>((Posts!F26+Posts!G26+Posts!H26)/Posts!I26)*100</f>
        <v>5.9496567505720828</v>
      </c>
      <c r="D289" s="2"/>
      <c r="E289" s="2"/>
      <c r="F289" s="2"/>
      <c r="G289" s="2"/>
    </row>
    <row r="290" spans="1:7" x14ac:dyDescent="0.25">
      <c r="A290" s="2" t="s">
        <v>58</v>
      </c>
      <c r="B290" s="2" t="s">
        <v>38</v>
      </c>
      <c r="C290" s="8">
        <f>((Posts!F16+Posts!G16+Posts!H16)/Posts!I16)*100</f>
        <v>5.9413580246913584</v>
      </c>
      <c r="D290" s="2"/>
      <c r="E290" s="2"/>
      <c r="F290" s="2"/>
      <c r="G290" s="2"/>
    </row>
    <row r="291" spans="1:7" x14ac:dyDescent="0.25">
      <c r="A291" s="2" t="s">
        <v>364</v>
      </c>
      <c r="B291" s="2" t="s">
        <v>14</v>
      </c>
      <c r="C291" s="8">
        <f>((Posts!F297+Posts!G297+Posts!H297)/Posts!I297)*100</f>
        <v>5.938782489740082</v>
      </c>
      <c r="D291" s="2"/>
      <c r="E291" s="2"/>
      <c r="F291" s="2"/>
      <c r="G291" s="2"/>
    </row>
    <row r="292" spans="1:7" x14ac:dyDescent="0.25">
      <c r="A292" s="2" t="s">
        <v>366</v>
      </c>
      <c r="B292" s="2" t="s">
        <v>38</v>
      </c>
      <c r="C292" s="8">
        <f>((Posts!F299+Posts!G299+Posts!H299)/Posts!I299)*100</f>
        <v>5.8563792702765518</v>
      </c>
      <c r="D292" s="2"/>
      <c r="E292" s="2"/>
      <c r="F292" s="2"/>
      <c r="G292" s="2"/>
    </row>
    <row r="293" spans="1:7" x14ac:dyDescent="0.25">
      <c r="A293" s="2" t="s">
        <v>279</v>
      </c>
      <c r="B293" s="2" t="s">
        <v>25</v>
      </c>
      <c r="C293" s="8">
        <f>((Posts!F217+Posts!G217+Posts!H217)/Posts!I217)*100</f>
        <v>5.8316766070245194</v>
      </c>
      <c r="D293" s="2"/>
      <c r="E293" s="2"/>
      <c r="F293" s="2"/>
      <c r="G293" s="2"/>
    </row>
    <row r="294" spans="1:7" x14ac:dyDescent="0.25">
      <c r="A294" s="2" t="s">
        <v>351</v>
      </c>
      <c r="B294" s="2" t="s">
        <v>14</v>
      </c>
      <c r="C294" s="8">
        <f>((Posts!F284+Posts!G284+Posts!H284)/Posts!I284)*100</f>
        <v>5.8243321401216139</v>
      </c>
      <c r="D294" s="2"/>
      <c r="E294" s="2"/>
      <c r="F294" s="2"/>
      <c r="G294" s="2"/>
    </row>
    <row r="295" spans="1:7" x14ac:dyDescent="0.25">
      <c r="A295" s="2" t="s">
        <v>322</v>
      </c>
      <c r="B295" s="2" t="s">
        <v>25</v>
      </c>
      <c r="C295" s="8">
        <f>((Posts!F257+Posts!G257+Posts!H257)/Posts!I257)*100</f>
        <v>5.793648844463001</v>
      </c>
      <c r="D295" s="2"/>
      <c r="E295" s="2"/>
      <c r="F295" s="2"/>
      <c r="G295" s="2"/>
    </row>
    <row r="296" spans="1:7" x14ac:dyDescent="0.25">
      <c r="A296" s="2" t="s">
        <v>80</v>
      </c>
      <c r="B296" s="2" t="s">
        <v>30</v>
      </c>
      <c r="C296" s="8">
        <f>((Posts!F31+Posts!G31+Posts!H31)/Posts!I31)*100</f>
        <v>5.7655717106444087</v>
      </c>
      <c r="D296" s="2"/>
      <c r="E296" s="2"/>
      <c r="F296" s="2"/>
      <c r="G296" s="2"/>
    </row>
    <row r="297" spans="1:7" x14ac:dyDescent="0.25">
      <c r="A297" s="2" t="s">
        <v>265</v>
      </c>
      <c r="B297" s="2" t="s">
        <v>30</v>
      </c>
      <c r="C297" s="8">
        <f>((Posts!F204+Posts!G204+Posts!H204)/Posts!I204)*100</f>
        <v>5.7332570758993961</v>
      </c>
      <c r="D297" s="2"/>
      <c r="E297" s="2"/>
      <c r="F297" s="2"/>
      <c r="G297" s="2"/>
    </row>
    <row r="298" spans="1:7" x14ac:dyDescent="0.25">
      <c r="A298" s="2" t="s">
        <v>289</v>
      </c>
      <c r="B298" s="2" t="s">
        <v>14</v>
      </c>
      <c r="C298" s="8">
        <f>((Posts!F226+Posts!G226+Posts!H226)/Posts!I226)*100</f>
        <v>5.6653298485940882</v>
      </c>
      <c r="D298" s="2"/>
      <c r="E298" s="2"/>
      <c r="F298" s="2"/>
      <c r="G298" s="2"/>
    </row>
    <row r="299" spans="1:7" x14ac:dyDescent="0.25">
      <c r="A299" s="2" t="s">
        <v>206</v>
      </c>
      <c r="B299" s="2" t="s">
        <v>30</v>
      </c>
      <c r="C299" s="8">
        <f>((Posts!F146+Posts!G146+Posts!H146)/Posts!I146)*100</f>
        <v>5.6416400425985094</v>
      </c>
      <c r="D299" s="2"/>
      <c r="E299" s="2"/>
      <c r="F299" s="2"/>
      <c r="G299" s="2"/>
    </row>
    <row r="300" spans="1:7" x14ac:dyDescent="0.25">
      <c r="A300" s="2" t="s">
        <v>252</v>
      </c>
      <c r="B300" s="2" t="s">
        <v>25</v>
      </c>
      <c r="C300" s="8">
        <f>((Posts!F191+Posts!G191+Posts!H191)/Posts!I191)*100</f>
        <v>5.590932246561386</v>
      </c>
      <c r="D300" s="2"/>
      <c r="E300" s="2"/>
      <c r="F300" s="2"/>
      <c r="G300" s="2"/>
    </row>
    <row r="301" spans="1:7" x14ac:dyDescent="0.25">
      <c r="A301" s="2" t="s">
        <v>24</v>
      </c>
      <c r="B301" s="2" t="s">
        <v>25</v>
      </c>
      <c r="C301" s="8">
        <f>((Posts!F4+Posts!G4+Posts!H4)/Posts!I4)*100</f>
        <v>5.5531494209584791</v>
      </c>
      <c r="D301" s="2"/>
      <c r="E301" s="2"/>
      <c r="F301" s="2"/>
      <c r="G301" s="2"/>
    </row>
    <row r="302" spans="1:7" x14ac:dyDescent="0.25">
      <c r="A302" s="2" t="s">
        <v>238</v>
      </c>
      <c r="B302" s="2" t="s">
        <v>38</v>
      </c>
      <c r="C302" s="8">
        <f>((Posts!F177+Posts!G177+Posts!H177)/Posts!I177)*100</f>
        <v>5.40810953133228</v>
      </c>
      <c r="D302" s="2"/>
      <c r="E302" s="2"/>
      <c r="F302" s="2"/>
      <c r="G302" s="2"/>
    </row>
    <row r="303" spans="1:7" x14ac:dyDescent="0.25">
      <c r="A303" s="2" t="s">
        <v>120</v>
      </c>
      <c r="B303" s="2" t="s">
        <v>14</v>
      </c>
      <c r="C303" s="8">
        <f>((Posts!F64+Posts!G64+Posts!H64)/Posts!I64)*100</f>
        <v>5.2551586421122698</v>
      </c>
      <c r="D303" s="2"/>
      <c r="E303" s="2"/>
      <c r="F303" s="2"/>
      <c r="G303" s="2"/>
    </row>
  </sheetData>
  <sortState xmlns:xlrd2="http://schemas.microsoft.com/office/spreadsheetml/2017/richdata2" ref="A4:C303">
    <sortCondition descending="1" ref="C4:C303"/>
  </sortState>
  <mergeCells count="1">
    <mergeCell ref="A2:F2"/>
  </mergeCells>
  <conditionalFormatting sqref="A4:A303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FE60-835E-4499-A9F7-7E2AE039581F}">
  <dimension ref="A1:P22"/>
  <sheetViews>
    <sheetView workbookViewId="0">
      <selection activeCell="B16" sqref="B16"/>
    </sheetView>
  </sheetViews>
  <sheetFormatPr defaultRowHeight="15" x14ac:dyDescent="0.25"/>
  <cols>
    <col min="1" max="1" width="33" customWidth="1"/>
    <col min="2" max="2" width="16.5703125" bestFit="1" customWidth="1"/>
    <col min="3" max="13" width="18" bestFit="1" customWidth="1"/>
    <col min="14" max="14" width="17.5703125" bestFit="1" customWidth="1"/>
    <col min="15" max="15" width="23" bestFit="1" customWidth="1"/>
    <col min="16" max="17" width="19" bestFit="1" customWidth="1"/>
  </cols>
  <sheetData>
    <row r="1" spans="1:16" ht="21" x14ac:dyDescent="0.35">
      <c r="A1" s="5" t="s">
        <v>415</v>
      </c>
      <c r="B1" s="5"/>
      <c r="C1" s="5"/>
      <c r="D1" s="5"/>
      <c r="E1" s="7"/>
      <c r="F1" s="7"/>
    </row>
    <row r="2" spans="1:16" ht="15.75" x14ac:dyDescent="0.25">
      <c r="A2" s="59" t="s">
        <v>408</v>
      </c>
      <c r="B2" s="67"/>
      <c r="C2" s="67"/>
      <c r="D2" s="67"/>
      <c r="E2" s="67"/>
      <c r="F2" s="67"/>
    </row>
    <row r="3" spans="1:16" x14ac:dyDescent="0.25">
      <c r="B3" s="12" t="s">
        <v>1</v>
      </c>
      <c r="C3" s="12" t="s">
        <v>407</v>
      </c>
    </row>
    <row r="4" spans="1:16" x14ac:dyDescent="0.25">
      <c r="B4" t="s">
        <v>38</v>
      </c>
      <c r="E4" t="s">
        <v>30</v>
      </c>
      <c r="H4" t="s">
        <v>14</v>
      </c>
      <c r="K4" t="s">
        <v>25</v>
      </c>
      <c r="N4" t="s">
        <v>402</v>
      </c>
      <c r="O4" t="s">
        <v>405</v>
      </c>
      <c r="P4" t="s">
        <v>403</v>
      </c>
    </row>
    <row r="5" spans="1:16" x14ac:dyDescent="0.25">
      <c r="A5" s="12" t="s">
        <v>3</v>
      </c>
      <c r="B5" t="s">
        <v>401</v>
      </c>
      <c r="C5" t="s">
        <v>406</v>
      </c>
      <c r="D5" t="s">
        <v>404</v>
      </c>
      <c r="E5" t="s">
        <v>401</v>
      </c>
      <c r="F5" t="s">
        <v>406</v>
      </c>
      <c r="G5" t="s">
        <v>404</v>
      </c>
      <c r="H5" t="s">
        <v>401</v>
      </c>
      <c r="I5" t="s">
        <v>406</v>
      </c>
      <c r="J5" t="s">
        <v>404</v>
      </c>
      <c r="K5" t="s">
        <v>401</v>
      </c>
      <c r="L5" t="s">
        <v>406</v>
      </c>
      <c r="M5" t="s">
        <v>404</v>
      </c>
    </row>
    <row r="6" spans="1:16" x14ac:dyDescent="0.25">
      <c r="A6" t="s">
        <v>39</v>
      </c>
      <c r="B6">
        <v>44476</v>
      </c>
      <c r="C6">
        <v>4589</v>
      </c>
      <c r="D6">
        <v>7400</v>
      </c>
      <c r="E6">
        <v>43948</v>
      </c>
      <c r="F6">
        <v>3890</v>
      </c>
      <c r="G6">
        <v>6975</v>
      </c>
      <c r="H6">
        <v>48649</v>
      </c>
      <c r="I6">
        <v>3607</v>
      </c>
      <c r="J6">
        <v>5791</v>
      </c>
      <c r="K6">
        <v>24926</v>
      </c>
      <c r="L6">
        <v>2422</v>
      </c>
      <c r="M6">
        <v>6305</v>
      </c>
      <c r="N6">
        <v>161999</v>
      </c>
      <c r="O6">
        <v>14508</v>
      </c>
      <c r="P6">
        <v>26471</v>
      </c>
    </row>
    <row r="7" spans="1:16" x14ac:dyDescent="0.25">
      <c r="A7" t="s">
        <v>44</v>
      </c>
      <c r="B7">
        <v>71602</v>
      </c>
      <c r="C7">
        <v>6495</v>
      </c>
      <c r="D7">
        <v>12904</v>
      </c>
      <c r="E7">
        <v>34202</v>
      </c>
      <c r="F7">
        <v>2655</v>
      </c>
      <c r="G7">
        <v>5286</v>
      </c>
      <c r="H7">
        <v>43761</v>
      </c>
      <c r="I7">
        <v>5125</v>
      </c>
      <c r="J7">
        <v>7110</v>
      </c>
      <c r="K7">
        <v>23903</v>
      </c>
      <c r="L7">
        <v>2077</v>
      </c>
      <c r="M7">
        <v>4310</v>
      </c>
      <c r="N7">
        <v>173468</v>
      </c>
      <c r="O7">
        <v>16352</v>
      </c>
      <c r="P7">
        <v>29610</v>
      </c>
    </row>
    <row r="8" spans="1:16" x14ac:dyDescent="0.25">
      <c r="A8" t="s">
        <v>15</v>
      </c>
      <c r="B8">
        <v>36368</v>
      </c>
      <c r="C8">
        <v>3353</v>
      </c>
      <c r="D8">
        <v>5964</v>
      </c>
      <c r="E8">
        <v>32148</v>
      </c>
      <c r="F8">
        <v>3386</v>
      </c>
      <c r="G8">
        <v>8110</v>
      </c>
      <c r="H8">
        <v>27029</v>
      </c>
      <c r="I8">
        <v>1913</v>
      </c>
      <c r="J8">
        <v>4550</v>
      </c>
      <c r="K8">
        <v>32400</v>
      </c>
      <c r="L8">
        <v>2668</v>
      </c>
      <c r="M8">
        <v>4577</v>
      </c>
      <c r="N8">
        <v>127945</v>
      </c>
      <c r="O8">
        <v>11320</v>
      </c>
      <c r="P8">
        <v>23201</v>
      </c>
    </row>
    <row r="9" spans="1:16" x14ac:dyDescent="0.25">
      <c r="A9" t="s">
        <v>31</v>
      </c>
      <c r="B9">
        <v>29405</v>
      </c>
      <c r="C9">
        <v>3223</v>
      </c>
      <c r="D9">
        <v>4950</v>
      </c>
      <c r="E9">
        <v>42649</v>
      </c>
      <c r="F9">
        <v>3846</v>
      </c>
      <c r="G9">
        <v>10049</v>
      </c>
      <c r="H9">
        <v>20466</v>
      </c>
      <c r="I9">
        <v>3026</v>
      </c>
      <c r="J9">
        <v>5090</v>
      </c>
      <c r="K9">
        <v>31968</v>
      </c>
      <c r="L9">
        <v>2012</v>
      </c>
      <c r="M9">
        <v>3866</v>
      </c>
      <c r="N9">
        <v>124488</v>
      </c>
      <c r="O9">
        <v>12107</v>
      </c>
      <c r="P9">
        <v>23955</v>
      </c>
    </row>
    <row r="10" spans="1:16" x14ac:dyDescent="0.25">
      <c r="A10" t="s">
        <v>20</v>
      </c>
      <c r="B10">
        <v>31963</v>
      </c>
      <c r="C10">
        <v>3377</v>
      </c>
      <c r="D10">
        <v>4792</v>
      </c>
      <c r="E10">
        <v>25567</v>
      </c>
      <c r="F10">
        <v>1946</v>
      </c>
      <c r="G10">
        <v>5112</v>
      </c>
      <c r="H10">
        <v>31899</v>
      </c>
      <c r="I10">
        <v>3910</v>
      </c>
      <c r="J10">
        <v>4861</v>
      </c>
      <c r="K10">
        <v>27067</v>
      </c>
      <c r="L10">
        <v>1052</v>
      </c>
      <c r="M10">
        <v>3928</v>
      </c>
      <c r="N10">
        <v>116496</v>
      </c>
      <c r="O10">
        <v>10285</v>
      </c>
      <c r="P10">
        <v>18693</v>
      </c>
    </row>
    <row r="11" spans="1:16" x14ac:dyDescent="0.25">
      <c r="A11" t="s">
        <v>59</v>
      </c>
      <c r="B11">
        <v>28947</v>
      </c>
      <c r="C11">
        <v>2263</v>
      </c>
      <c r="D11">
        <v>3171</v>
      </c>
      <c r="E11">
        <v>25770</v>
      </c>
      <c r="F11">
        <v>2128</v>
      </c>
      <c r="G11">
        <v>5912</v>
      </c>
      <c r="H11">
        <v>29593</v>
      </c>
      <c r="I11">
        <v>3299</v>
      </c>
      <c r="J11">
        <v>6326</v>
      </c>
      <c r="K11">
        <v>31285</v>
      </c>
      <c r="L11">
        <v>2589</v>
      </c>
      <c r="M11">
        <v>5586</v>
      </c>
      <c r="N11">
        <v>115595</v>
      </c>
      <c r="O11">
        <v>10279</v>
      </c>
      <c r="P11">
        <v>20995</v>
      </c>
    </row>
    <row r="12" spans="1:16" x14ac:dyDescent="0.25">
      <c r="A12" t="s">
        <v>400</v>
      </c>
      <c r="B12">
        <v>242761</v>
      </c>
      <c r="C12">
        <v>23300</v>
      </c>
      <c r="D12">
        <v>39181</v>
      </c>
      <c r="E12">
        <v>204284</v>
      </c>
      <c r="F12">
        <v>17851</v>
      </c>
      <c r="G12">
        <v>41444</v>
      </c>
      <c r="H12">
        <v>201397</v>
      </c>
      <c r="I12">
        <v>20880</v>
      </c>
      <c r="J12">
        <v>33728</v>
      </c>
      <c r="K12">
        <v>171549</v>
      </c>
      <c r="L12">
        <v>12820</v>
      </c>
      <c r="M12">
        <v>28572</v>
      </c>
      <c r="N12">
        <v>819991</v>
      </c>
      <c r="O12">
        <v>74851</v>
      </c>
      <c r="P12">
        <v>142925</v>
      </c>
    </row>
    <row r="14" spans="1:16" ht="15.75" x14ac:dyDescent="0.25">
      <c r="A14" s="68" t="s">
        <v>479</v>
      </c>
    </row>
    <row r="15" spans="1:16" x14ac:dyDescent="0.25">
      <c r="A15" s="12" t="s">
        <v>411</v>
      </c>
      <c r="B15" t="s">
        <v>412</v>
      </c>
    </row>
    <row r="16" spans="1:16" x14ac:dyDescent="0.25">
      <c r="A16" s="34" t="s">
        <v>379</v>
      </c>
      <c r="B16" s="11">
        <v>161.19999999999999</v>
      </c>
    </row>
    <row r="17" spans="1:2" x14ac:dyDescent="0.25">
      <c r="A17" s="34" t="s">
        <v>380</v>
      </c>
      <c r="B17" s="11">
        <v>114.85714285714286</v>
      </c>
    </row>
    <row r="18" spans="1:2" x14ac:dyDescent="0.25">
      <c r="A18" s="34" t="s">
        <v>33</v>
      </c>
      <c r="B18" s="11">
        <v>151.52941176470588</v>
      </c>
    </row>
    <row r="19" spans="1:2" x14ac:dyDescent="0.25">
      <c r="A19" s="19" t="s">
        <v>51</v>
      </c>
      <c r="B19" s="8">
        <v>144.03883495145632</v>
      </c>
    </row>
    <row r="20" spans="1:2" x14ac:dyDescent="0.25">
      <c r="A20" s="19" t="s">
        <v>381</v>
      </c>
      <c r="B20" s="8">
        <v>111.8</v>
      </c>
    </row>
    <row r="21" spans="1:2" x14ac:dyDescent="0.25">
      <c r="A21" s="19" t="s">
        <v>27</v>
      </c>
      <c r="B21" s="8">
        <v>158.65420560747663</v>
      </c>
    </row>
    <row r="22" spans="1:2" x14ac:dyDescent="0.25">
      <c r="A22" s="19" t="s">
        <v>400</v>
      </c>
      <c r="B22" s="8">
        <v>150.58702064896755</v>
      </c>
    </row>
  </sheetData>
  <mergeCells count="1"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31E3-A80F-4CE8-B661-8298BA6B896C}">
  <dimension ref="A1:N340"/>
  <sheetViews>
    <sheetView topLeftCell="C1" workbookViewId="0">
      <selection activeCell="N1" sqref="N1"/>
    </sheetView>
  </sheetViews>
  <sheetFormatPr defaultRowHeight="15" x14ac:dyDescent="0.25"/>
  <cols>
    <col min="1" max="1" width="9.7109375" bestFit="1" customWidth="1"/>
    <col min="2" max="2" width="11" bestFit="1" customWidth="1"/>
    <col min="3" max="3" width="10.42578125" bestFit="1" customWidth="1"/>
    <col min="4" max="4" width="15.5703125" bestFit="1" customWidth="1"/>
    <col min="5" max="5" width="40.28515625" bestFit="1" customWidth="1"/>
    <col min="6" max="6" width="8" bestFit="1" customWidth="1"/>
    <col min="7" max="7" width="9.42578125" bestFit="1" customWidth="1"/>
    <col min="8" max="8" width="13.28515625" bestFit="1" customWidth="1"/>
    <col min="9" max="9" width="14.42578125" bestFit="1" customWidth="1"/>
    <col min="10" max="11" width="8.85546875" bestFit="1" customWidth="1"/>
    <col min="12" max="12" width="21.7109375" bestFit="1" customWidth="1"/>
    <col min="13" max="13" width="18.5703125" bestFit="1" customWidth="1"/>
    <col min="14" max="14" width="19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437</v>
      </c>
    </row>
    <row r="2" spans="1:14" x14ac:dyDescent="0.25">
      <c r="A2" t="s">
        <v>13</v>
      </c>
      <c r="B2" t="s">
        <v>14</v>
      </c>
      <c r="C2" s="17">
        <v>45649</v>
      </c>
      <c r="D2" t="s">
        <v>15</v>
      </c>
      <c r="E2" t="s">
        <v>16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51</v>
      </c>
      <c r="M2" t="s">
        <v>18</v>
      </c>
      <c r="N2" s="37">
        <f>(Table10_1[[#This Row],[Likes]]+Table10_1[[#This Row],[Shares]]+Table10_1[[#This Row],[Comments]])/Table10_1[[#This Row],[Impressions]]</f>
        <v>9.0759753593429152E-2</v>
      </c>
    </row>
    <row r="3" spans="1:14" x14ac:dyDescent="0.25">
      <c r="A3" t="s">
        <v>13</v>
      </c>
      <c r="B3" t="s">
        <v>14</v>
      </c>
      <c r="C3" s="17">
        <v>45649</v>
      </c>
      <c r="D3" t="s">
        <v>15</v>
      </c>
      <c r="E3" t="s">
        <v>16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15</v>
      </c>
      <c r="L3" t="s">
        <v>379</v>
      </c>
      <c r="M3" t="s">
        <v>18</v>
      </c>
      <c r="N3" s="37">
        <f>(Table10_1[[#This Row],[Likes]]+Table10_1[[#This Row],[Shares]]+Table10_1[[#This Row],[Comments]])/Table10_1[[#This Row],[Impressions]]</f>
        <v>9.0759753593429152E-2</v>
      </c>
    </row>
    <row r="4" spans="1:14" x14ac:dyDescent="0.25">
      <c r="A4" t="s">
        <v>19</v>
      </c>
      <c r="B4" t="s">
        <v>14</v>
      </c>
      <c r="C4" s="17">
        <v>45750</v>
      </c>
      <c r="D4" t="s">
        <v>20</v>
      </c>
      <c r="E4" t="s">
        <v>21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27</v>
      </c>
      <c r="M4" t="s">
        <v>23</v>
      </c>
      <c r="N4" s="37">
        <f>(Table10_1[[#This Row],[Likes]]+Table10_1[[#This Row],[Shares]]+Table10_1[[#This Row],[Comments]])/Table10_1[[#This Row],[Impressions]]</f>
        <v>7.6097681302417369E-2</v>
      </c>
    </row>
    <row r="5" spans="1:14" x14ac:dyDescent="0.25">
      <c r="A5" t="s">
        <v>19</v>
      </c>
      <c r="B5" t="s">
        <v>14</v>
      </c>
      <c r="C5" s="17">
        <v>45750</v>
      </c>
      <c r="D5" t="s">
        <v>20</v>
      </c>
      <c r="E5" t="s">
        <v>21</v>
      </c>
      <c r="F5">
        <v>4054</v>
      </c>
      <c r="G5">
        <v>389</v>
      </c>
      <c r="H5">
        <v>493</v>
      </c>
      <c r="I5">
        <v>64864</v>
      </c>
      <c r="J5">
        <v>64383</v>
      </c>
      <c r="K5">
        <v>117</v>
      </c>
      <c r="L5" t="s">
        <v>380</v>
      </c>
      <c r="M5" t="s">
        <v>23</v>
      </c>
      <c r="N5" s="37">
        <f>(Table10_1[[#This Row],[Likes]]+Table10_1[[#This Row],[Shares]]+Table10_1[[#This Row],[Comments]])/Table10_1[[#This Row],[Impressions]]</f>
        <v>7.6097681302417369E-2</v>
      </c>
    </row>
    <row r="6" spans="1:14" x14ac:dyDescent="0.25">
      <c r="A6" t="s">
        <v>24</v>
      </c>
      <c r="B6" t="s">
        <v>25</v>
      </c>
      <c r="C6" s="17">
        <v>45789</v>
      </c>
      <c r="D6" t="s">
        <v>15</v>
      </c>
      <c r="E6" t="s">
        <v>26</v>
      </c>
      <c r="F6">
        <v>2795</v>
      </c>
      <c r="G6">
        <v>105</v>
      </c>
      <c r="H6">
        <v>49</v>
      </c>
      <c r="I6">
        <v>53105</v>
      </c>
      <c r="J6">
        <v>52307</v>
      </c>
      <c r="K6">
        <v>204</v>
      </c>
      <c r="L6" t="s">
        <v>27</v>
      </c>
      <c r="M6" t="s">
        <v>28</v>
      </c>
      <c r="N6" s="37">
        <f>(Table10_1[[#This Row],[Likes]]+Table10_1[[#This Row],[Shares]]+Table10_1[[#This Row],[Comments]])/Table10_1[[#This Row],[Impressions]]</f>
        <v>5.5531494209584788E-2</v>
      </c>
    </row>
    <row r="7" spans="1:14" x14ac:dyDescent="0.25">
      <c r="A7" t="s">
        <v>29</v>
      </c>
      <c r="B7" t="s">
        <v>30</v>
      </c>
      <c r="C7" s="17">
        <v>45516</v>
      </c>
      <c r="D7" t="s">
        <v>31</v>
      </c>
      <c r="E7" t="s">
        <v>32</v>
      </c>
      <c r="F7">
        <v>2404</v>
      </c>
      <c r="G7">
        <v>363</v>
      </c>
      <c r="H7">
        <v>138</v>
      </c>
      <c r="I7">
        <v>19232</v>
      </c>
      <c r="J7">
        <v>18636</v>
      </c>
      <c r="K7">
        <v>128</v>
      </c>
      <c r="L7" t="s">
        <v>33</v>
      </c>
      <c r="M7" t="s">
        <v>34</v>
      </c>
      <c r="N7" s="37">
        <f>(Table10_1[[#This Row],[Likes]]+Table10_1[[#This Row],[Shares]]+Table10_1[[#This Row],[Comments]])/Table10_1[[#This Row],[Impressions]]</f>
        <v>0.15105033277870217</v>
      </c>
    </row>
    <row r="8" spans="1:14" x14ac:dyDescent="0.25">
      <c r="A8" t="s">
        <v>35</v>
      </c>
      <c r="B8" t="s">
        <v>25</v>
      </c>
      <c r="C8" s="17">
        <v>45469</v>
      </c>
      <c r="D8" t="s">
        <v>15</v>
      </c>
      <c r="E8" t="s">
        <v>26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33</v>
      </c>
      <c r="M8" t="s">
        <v>18</v>
      </c>
      <c r="N8" s="37">
        <f>(Table10_1[[#This Row],[Likes]]+Table10_1[[#This Row],[Shares]]+Table10_1[[#This Row],[Comments]])/Table10_1[[#This Row],[Impressions]]</f>
        <v>6.5617093055946027E-2</v>
      </c>
    </row>
    <row r="9" spans="1:14" x14ac:dyDescent="0.25">
      <c r="A9" t="s">
        <v>35</v>
      </c>
      <c r="B9" t="s">
        <v>25</v>
      </c>
      <c r="C9" s="17">
        <v>45469</v>
      </c>
      <c r="D9" t="s">
        <v>15</v>
      </c>
      <c r="E9" t="s">
        <v>26</v>
      </c>
      <c r="F9">
        <v>3557</v>
      </c>
      <c r="G9">
        <v>687</v>
      </c>
      <c r="H9">
        <v>424</v>
      </c>
      <c r="I9">
        <v>71140</v>
      </c>
      <c r="J9">
        <v>70701</v>
      </c>
      <c r="K9">
        <v>224</v>
      </c>
      <c r="L9" t="s">
        <v>27</v>
      </c>
      <c r="M9" t="s">
        <v>18</v>
      </c>
      <c r="N9" s="37">
        <f>(Table10_1[[#This Row],[Likes]]+Table10_1[[#This Row],[Shares]]+Table10_1[[#This Row],[Comments]])/Table10_1[[#This Row],[Impressions]]</f>
        <v>6.5617093055946027E-2</v>
      </c>
    </row>
    <row r="10" spans="1:14" x14ac:dyDescent="0.25">
      <c r="A10" t="s">
        <v>37</v>
      </c>
      <c r="B10" t="s">
        <v>38</v>
      </c>
      <c r="C10" s="17">
        <v>45596</v>
      </c>
      <c r="D10" t="s">
        <v>39</v>
      </c>
      <c r="E10" t="s">
        <v>40</v>
      </c>
      <c r="F10">
        <v>2945</v>
      </c>
      <c r="G10">
        <v>930</v>
      </c>
      <c r="H10">
        <v>355</v>
      </c>
      <c r="I10">
        <v>23560</v>
      </c>
      <c r="J10">
        <v>23275</v>
      </c>
      <c r="K10">
        <v>256</v>
      </c>
      <c r="L10" t="s">
        <v>27</v>
      </c>
      <c r="M10" t="s">
        <v>23</v>
      </c>
      <c r="N10" s="37">
        <f>(Table10_1[[#This Row],[Likes]]+Table10_1[[#This Row],[Shares]]+Table10_1[[#This Row],[Comments]])/Table10_1[[#This Row],[Impressions]]</f>
        <v>0.17954159592529711</v>
      </c>
    </row>
    <row r="11" spans="1:14" x14ac:dyDescent="0.25">
      <c r="A11" t="s">
        <v>41</v>
      </c>
      <c r="B11" t="s">
        <v>14</v>
      </c>
      <c r="C11" s="17">
        <v>45467</v>
      </c>
      <c r="D11" t="s">
        <v>39</v>
      </c>
      <c r="E11" t="s">
        <v>42</v>
      </c>
      <c r="F11">
        <v>3860</v>
      </c>
      <c r="G11">
        <v>201</v>
      </c>
      <c r="H11">
        <v>279</v>
      </c>
      <c r="I11">
        <v>61760</v>
      </c>
      <c r="J11">
        <v>61660</v>
      </c>
      <c r="K11">
        <v>235</v>
      </c>
      <c r="L11" t="s">
        <v>27</v>
      </c>
      <c r="M11" t="s">
        <v>23</v>
      </c>
      <c r="N11" s="37">
        <f>(Table10_1[[#This Row],[Likes]]+Table10_1[[#This Row],[Shares]]+Table10_1[[#This Row],[Comments]])/Table10_1[[#This Row],[Impressions]]</f>
        <v>7.0272020725388601E-2</v>
      </c>
    </row>
    <row r="12" spans="1:14" x14ac:dyDescent="0.25">
      <c r="A12" t="s">
        <v>43</v>
      </c>
      <c r="B12" t="s">
        <v>25</v>
      </c>
      <c r="C12" s="17">
        <v>45486</v>
      </c>
      <c r="D12" t="s">
        <v>44</v>
      </c>
      <c r="E12" t="s">
        <v>45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33</v>
      </c>
      <c r="M12" t="s">
        <v>34</v>
      </c>
      <c r="N12" s="37">
        <f>(Table10_1[[#This Row],[Likes]]+Table10_1[[#This Row],[Shares]]+Table10_1[[#This Row],[Comments]])/Table10_1[[#This Row],[Impressions]]</f>
        <v>0.10340359564080613</v>
      </c>
    </row>
    <row r="13" spans="1:14" x14ac:dyDescent="0.25">
      <c r="A13" t="s">
        <v>46</v>
      </c>
      <c r="B13" t="s">
        <v>38</v>
      </c>
      <c r="C13" s="17">
        <v>45534</v>
      </c>
      <c r="D13" t="s">
        <v>20</v>
      </c>
      <c r="E13" t="s">
        <v>47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27</v>
      </c>
      <c r="M13" t="s">
        <v>23</v>
      </c>
      <c r="N13" s="37">
        <f>(Table10_1[[#This Row],[Likes]]+Table10_1[[#This Row],[Shares]]+Table10_1[[#This Row],[Comments]])/Table10_1[[#This Row],[Impressions]]</f>
        <v>8.8019732205778717E-2</v>
      </c>
    </row>
    <row r="14" spans="1:14" x14ac:dyDescent="0.25">
      <c r="A14" t="s">
        <v>48</v>
      </c>
      <c r="B14" t="s">
        <v>38</v>
      </c>
      <c r="C14" s="17">
        <v>45727</v>
      </c>
      <c r="D14" t="s">
        <v>44</v>
      </c>
      <c r="E14" t="s">
        <v>49</v>
      </c>
      <c r="F14">
        <v>4241</v>
      </c>
      <c r="G14">
        <v>902</v>
      </c>
      <c r="H14">
        <v>47</v>
      </c>
      <c r="I14">
        <v>72097</v>
      </c>
      <c r="J14">
        <v>71598</v>
      </c>
      <c r="K14">
        <v>167</v>
      </c>
      <c r="L14" t="s">
        <v>27</v>
      </c>
      <c r="M14" t="s">
        <v>23</v>
      </c>
      <c r="N14" s="37">
        <f>(Table10_1[[#This Row],[Likes]]+Table10_1[[#This Row],[Shares]]+Table10_1[[#This Row],[Comments]])/Table10_1[[#This Row],[Impressions]]</f>
        <v>7.198635172059864E-2</v>
      </c>
    </row>
    <row r="15" spans="1:14" x14ac:dyDescent="0.25">
      <c r="A15" t="s">
        <v>50</v>
      </c>
      <c r="B15" t="s">
        <v>30</v>
      </c>
      <c r="C15" s="17">
        <v>45690</v>
      </c>
      <c r="D15" t="s">
        <v>31</v>
      </c>
      <c r="E15" t="s">
        <v>32</v>
      </c>
      <c r="F15">
        <v>1792</v>
      </c>
      <c r="G15">
        <v>614</v>
      </c>
      <c r="H15">
        <v>497</v>
      </c>
      <c r="I15">
        <v>25088</v>
      </c>
      <c r="J15">
        <v>24675</v>
      </c>
      <c r="K15">
        <v>65</v>
      </c>
      <c r="L15" t="s">
        <v>51</v>
      </c>
      <c r="M15" t="s">
        <v>34</v>
      </c>
      <c r="N15" s="37">
        <f>(Table10_1[[#This Row],[Likes]]+Table10_1[[#This Row],[Shares]]+Table10_1[[#This Row],[Comments]])/Table10_1[[#This Row],[Impressions]]</f>
        <v>0.11571269132653061</v>
      </c>
    </row>
    <row r="16" spans="1:14" x14ac:dyDescent="0.25">
      <c r="A16" t="s">
        <v>52</v>
      </c>
      <c r="B16" t="s">
        <v>38</v>
      </c>
      <c r="C16" s="17">
        <v>45494</v>
      </c>
      <c r="D16" t="s">
        <v>15</v>
      </c>
      <c r="E16" t="s">
        <v>53</v>
      </c>
      <c r="F16">
        <v>1946</v>
      </c>
      <c r="G16">
        <v>686</v>
      </c>
      <c r="H16">
        <v>377</v>
      </c>
      <c r="I16">
        <v>23352</v>
      </c>
      <c r="J16">
        <v>22982</v>
      </c>
      <c r="K16">
        <v>213</v>
      </c>
      <c r="L16" t="s">
        <v>51</v>
      </c>
      <c r="M16" t="s">
        <v>28</v>
      </c>
      <c r="N16" s="37">
        <f>(Table10_1[[#This Row],[Likes]]+Table10_1[[#This Row],[Shares]]+Table10_1[[#This Row],[Comments]])/Table10_1[[#This Row],[Impressions]]</f>
        <v>0.12885405960945528</v>
      </c>
    </row>
    <row r="17" spans="1:14" x14ac:dyDescent="0.25">
      <c r="A17" t="s">
        <v>54</v>
      </c>
      <c r="B17" t="s">
        <v>25</v>
      </c>
      <c r="C17" s="17">
        <v>45614</v>
      </c>
      <c r="D17" t="s">
        <v>39</v>
      </c>
      <c r="E17" t="s">
        <v>55</v>
      </c>
      <c r="F17">
        <v>1171</v>
      </c>
      <c r="G17">
        <v>286</v>
      </c>
      <c r="H17">
        <v>231</v>
      </c>
      <c r="I17">
        <v>22249</v>
      </c>
      <c r="J17">
        <v>21282</v>
      </c>
      <c r="K17">
        <v>114</v>
      </c>
      <c r="L17" t="s">
        <v>33</v>
      </c>
      <c r="M17" t="s">
        <v>18</v>
      </c>
      <c r="N17" s="37">
        <f>(Table10_1[[#This Row],[Likes]]+Table10_1[[#This Row],[Shares]]+Table10_1[[#This Row],[Comments]])/Table10_1[[#This Row],[Impressions]]</f>
        <v>7.5868578363072495E-2</v>
      </c>
    </row>
    <row r="18" spans="1:14" x14ac:dyDescent="0.25">
      <c r="A18" t="s">
        <v>56</v>
      </c>
      <c r="B18" t="s">
        <v>38</v>
      </c>
      <c r="C18" s="17">
        <v>45704</v>
      </c>
      <c r="D18" t="s">
        <v>31</v>
      </c>
      <c r="E18" t="s">
        <v>57</v>
      </c>
      <c r="F18">
        <v>4242</v>
      </c>
      <c r="G18">
        <v>555</v>
      </c>
      <c r="H18">
        <v>131</v>
      </c>
      <c r="I18">
        <v>33936</v>
      </c>
      <c r="J18">
        <v>33802</v>
      </c>
      <c r="K18">
        <v>265</v>
      </c>
      <c r="L18" t="s">
        <v>51</v>
      </c>
      <c r="N18" s="37">
        <f>(Table10_1[[#This Row],[Likes]]+Table10_1[[#This Row],[Shares]]+Table10_1[[#This Row],[Comments]])/Table10_1[[#This Row],[Impressions]]</f>
        <v>0.14521452145214522</v>
      </c>
    </row>
    <row r="19" spans="1:14" x14ac:dyDescent="0.25">
      <c r="A19" t="s">
        <v>58</v>
      </c>
      <c r="B19" t="s">
        <v>38</v>
      </c>
      <c r="C19" s="17">
        <v>45589</v>
      </c>
      <c r="D19" t="s">
        <v>59</v>
      </c>
      <c r="E19" t="s">
        <v>60</v>
      </c>
      <c r="F19">
        <v>3888</v>
      </c>
      <c r="G19">
        <v>604</v>
      </c>
      <c r="H19">
        <v>128</v>
      </c>
      <c r="I19">
        <v>77760</v>
      </c>
      <c r="J19">
        <v>77167</v>
      </c>
      <c r="K19">
        <v>20</v>
      </c>
      <c r="L19" t="s">
        <v>51</v>
      </c>
      <c r="M19" t="s">
        <v>18</v>
      </c>
      <c r="N19" s="37">
        <f>(Table10_1[[#This Row],[Likes]]+Table10_1[[#This Row],[Shares]]+Table10_1[[#This Row],[Comments]])/Table10_1[[#This Row],[Impressions]]</f>
        <v>5.941358024691358E-2</v>
      </c>
    </row>
    <row r="20" spans="1:14" x14ac:dyDescent="0.25">
      <c r="A20" t="s">
        <v>61</v>
      </c>
      <c r="B20" t="s">
        <v>38</v>
      </c>
      <c r="C20" s="17">
        <v>45530</v>
      </c>
      <c r="D20" t="s">
        <v>20</v>
      </c>
      <c r="E20" t="s">
        <v>47</v>
      </c>
      <c r="F20">
        <v>3452</v>
      </c>
      <c r="G20">
        <v>377</v>
      </c>
      <c r="H20">
        <v>360</v>
      </c>
      <c r="I20">
        <v>55232</v>
      </c>
      <c r="J20">
        <v>55075</v>
      </c>
      <c r="K20">
        <v>87</v>
      </c>
      <c r="L20" t="s">
        <v>51</v>
      </c>
      <c r="M20" t="s">
        <v>28</v>
      </c>
      <c r="N20" s="37">
        <f>(Table10_1[[#This Row],[Likes]]+Table10_1[[#This Row],[Shares]]+Table10_1[[#This Row],[Comments]])/Table10_1[[#This Row],[Impressions]]</f>
        <v>7.5843713789107758E-2</v>
      </c>
    </row>
    <row r="21" spans="1:14" x14ac:dyDescent="0.25">
      <c r="A21" t="s">
        <v>62</v>
      </c>
      <c r="B21" t="s">
        <v>38</v>
      </c>
      <c r="C21" s="17">
        <v>45782</v>
      </c>
      <c r="D21" t="s">
        <v>20</v>
      </c>
      <c r="E21" t="s">
        <v>47</v>
      </c>
      <c r="F21">
        <v>4441</v>
      </c>
      <c r="G21">
        <v>511</v>
      </c>
      <c r="H21">
        <v>70</v>
      </c>
      <c r="I21">
        <v>53292</v>
      </c>
      <c r="J21">
        <v>53082</v>
      </c>
      <c r="K21">
        <v>159</v>
      </c>
      <c r="L21" t="s">
        <v>33</v>
      </c>
      <c r="M21" t="s">
        <v>34</v>
      </c>
      <c r="N21" s="37">
        <f>(Table10_1[[#This Row],[Likes]]+Table10_1[[#This Row],[Shares]]+Table10_1[[#This Row],[Comments]])/Table10_1[[#This Row],[Impressions]]</f>
        <v>9.4235532537716729E-2</v>
      </c>
    </row>
    <row r="22" spans="1:14" x14ac:dyDescent="0.25">
      <c r="A22" t="s">
        <v>63</v>
      </c>
      <c r="B22" t="s">
        <v>30</v>
      </c>
      <c r="C22" s="17">
        <v>45523</v>
      </c>
      <c r="D22" t="s">
        <v>15</v>
      </c>
      <c r="E22" t="s">
        <v>64</v>
      </c>
      <c r="F22">
        <v>3000</v>
      </c>
      <c r="G22">
        <v>382</v>
      </c>
      <c r="H22">
        <v>325</v>
      </c>
      <c r="I22">
        <v>36000</v>
      </c>
      <c r="J22">
        <v>35819</v>
      </c>
      <c r="K22">
        <v>19</v>
      </c>
      <c r="L22" t="s">
        <v>51</v>
      </c>
      <c r="M22" t="s">
        <v>18</v>
      </c>
      <c r="N22" s="37">
        <f>(Table10_1[[#This Row],[Likes]]+Table10_1[[#This Row],[Shares]]+Table10_1[[#This Row],[Comments]])/Table10_1[[#This Row],[Impressions]]</f>
        <v>0.10297222222222223</v>
      </c>
    </row>
    <row r="23" spans="1:14" x14ac:dyDescent="0.25">
      <c r="A23" t="s">
        <v>65</v>
      </c>
      <c r="B23" t="s">
        <v>30</v>
      </c>
      <c r="C23" s="17">
        <v>45466</v>
      </c>
      <c r="D23" t="s">
        <v>59</v>
      </c>
      <c r="E23" t="s">
        <v>66</v>
      </c>
      <c r="F23">
        <v>1071</v>
      </c>
      <c r="G23">
        <v>519</v>
      </c>
      <c r="H23">
        <v>22</v>
      </c>
      <c r="I23">
        <v>16065</v>
      </c>
      <c r="J23">
        <v>15865</v>
      </c>
      <c r="K23">
        <v>103</v>
      </c>
      <c r="L23" t="s">
        <v>27</v>
      </c>
      <c r="M23" t="s">
        <v>34</v>
      </c>
      <c r="N23" s="37">
        <f>(Table10_1[[#This Row],[Likes]]+Table10_1[[#This Row],[Shares]]+Table10_1[[#This Row],[Comments]])/Table10_1[[#This Row],[Impressions]]</f>
        <v>0.10034235916588857</v>
      </c>
    </row>
    <row r="24" spans="1:14" x14ac:dyDescent="0.25">
      <c r="A24" t="s">
        <v>67</v>
      </c>
      <c r="B24" t="s">
        <v>30</v>
      </c>
      <c r="C24" s="17">
        <v>45544</v>
      </c>
      <c r="D24" t="s">
        <v>39</v>
      </c>
      <c r="E24" t="s">
        <v>68</v>
      </c>
      <c r="F24">
        <v>4054</v>
      </c>
      <c r="G24">
        <v>488</v>
      </c>
      <c r="H24">
        <v>373</v>
      </c>
      <c r="I24">
        <v>77026</v>
      </c>
      <c r="J24">
        <v>76881</v>
      </c>
      <c r="K24">
        <v>25</v>
      </c>
      <c r="L24" t="s">
        <v>27</v>
      </c>
      <c r="M24" t="s">
        <v>18</v>
      </c>
      <c r="N24" s="37">
        <f>(Table10_1[[#This Row],[Likes]]+Table10_1[[#This Row],[Shares]]+Table10_1[[#This Row],[Comments]])/Table10_1[[#This Row],[Impressions]]</f>
        <v>6.3809622724794221E-2</v>
      </c>
    </row>
    <row r="25" spans="1:14" x14ac:dyDescent="0.25">
      <c r="A25" t="s">
        <v>69</v>
      </c>
      <c r="B25" t="s">
        <v>30</v>
      </c>
      <c r="C25" s="17">
        <v>45661</v>
      </c>
      <c r="D25" t="s">
        <v>15</v>
      </c>
      <c r="E25" t="s">
        <v>64</v>
      </c>
      <c r="F25">
        <v>4838</v>
      </c>
      <c r="G25">
        <v>640</v>
      </c>
      <c r="H25">
        <v>128</v>
      </c>
      <c r="I25">
        <v>72570</v>
      </c>
      <c r="J25">
        <v>72396</v>
      </c>
      <c r="K25">
        <v>83</v>
      </c>
      <c r="L25" t="s">
        <v>51</v>
      </c>
      <c r="M25" t="s">
        <v>34</v>
      </c>
      <c r="N25" s="37">
        <f>(Table10_1[[#This Row],[Likes]]+Table10_1[[#This Row],[Shares]]+Table10_1[[#This Row],[Comments]])/Table10_1[[#This Row],[Impressions]]</f>
        <v>7.7249552156538517E-2</v>
      </c>
    </row>
    <row r="26" spans="1:14" x14ac:dyDescent="0.25">
      <c r="A26" t="s">
        <v>70</v>
      </c>
      <c r="B26" t="s">
        <v>38</v>
      </c>
      <c r="C26" s="17">
        <v>45715</v>
      </c>
      <c r="D26" t="s">
        <v>20</v>
      </c>
      <c r="E26" t="s">
        <v>47</v>
      </c>
      <c r="F26">
        <v>1570</v>
      </c>
      <c r="G26">
        <v>187</v>
      </c>
      <c r="H26">
        <v>260</v>
      </c>
      <c r="I26">
        <v>25120</v>
      </c>
      <c r="J26">
        <v>24613</v>
      </c>
      <c r="K26">
        <v>133</v>
      </c>
      <c r="L26" t="s">
        <v>27</v>
      </c>
      <c r="M26" t="s">
        <v>34</v>
      </c>
      <c r="N26" s="37">
        <f>(Table10_1[[#This Row],[Likes]]+Table10_1[[#This Row],[Shares]]+Table10_1[[#This Row],[Comments]])/Table10_1[[#This Row],[Impressions]]</f>
        <v>8.0294585987261149E-2</v>
      </c>
    </row>
    <row r="27" spans="1:14" x14ac:dyDescent="0.25">
      <c r="A27" t="s">
        <v>71</v>
      </c>
      <c r="B27" t="s">
        <v>38</v>
      </c>
      <c r="C27" s="17">
        <v>45602</v>
      </c>
      <c r="D27" t="s">
        <v>59</v>
      </c>
      <c r="E27" t="s">
        <v>60</v>
      </c>
      <c r="F27">
        <v>1606</v>
      </c>
      <c r="G27">
        <v>547</v>
      </c>
      <c r="H27">
        <v>316</v>
      </c>
      <c r="I27">
        <v>32120</v>
      </c>
      <c r="J27">
        <v>31736</v>
      </c>
      <c r="K27">
        <v>225</v>
      </c>
      <c r="L27" t="s">
        <v>27</v>
      </c>
      <c r="M27" t="s">
        <v>23</v>
      </c>
      <c r="N27" s="37">
        <f>(Table10_1[[#This Row],[Likes]]+Table10_1[[#This Row],[Shares]]+Table10_1[[#This Row],[Comments]])/Table10_1[[#This Row],[Impressions]]</f>
        <v>7.6867995018679955E-2</v>
      </c>
    </row>
    <row r="28" spans="1:14" x14ac:dyDescent="0.25">
      <c r="A28" t="s">
        <v>71</v>
      </c>
      <c r="B28" t="s">
        <v>38</v>
      </c>
      <c r="C28" s="17">
        <v>45602</v>
      </c>
      <c r="D28" t="s">
        <v>59</v>
      </c>
      <c r="E28" t="s">
        <v>60</v>
      </c>
      <c r="F28">
        <v>1606</v>
      </c>
      <c r="G28">
        <v>547</v>
      </c>
      <c r="H28">
        <v>316</v>
      </c>
      <c r="I28">
        <v>32120</v>
      </c>
      <c r="J28">
        <v>31736</v>
      </c>
      <c r="K28">
        <v>225</v>
      </c>
      <c r="L28" t="s">
        <v>379</v>
      </c>
      <c r="M28" t="s">
        <v>23</v>
      </c>
      <c r="N28" s="37">
        <f>(Table10_1[[#This Row],[Likes]]+Table10_1[[#This Row],[Shares]]+Table10_1[[#This Row],[Comments]])/Table10_1[[#This Row],[Impressions]]</f>
        <v>7.6867995018679955E-2</v>
      </c>
    </row>
    <row r="29" spans="1:14" x14ac:dyDescent="0.25">
      <c r="A29" t="s">
        <v>73</v>
      </c>
      <c r="B29" t="s">
        <v>38</v>
      </c>
      <c r="C29" s="17">
        <v>45680</v>
      </c>
      <c r="D29" t="s">
        <v>59</v>
      </c>
      <c r="E29" t="s">
        <v>60</v>
      </c>
      <c r="F29">
        <v>3961</v>
      </c>
      <c r="G29">
        <v>761</v>
      </c>
      <c r="H29">
        <v>131</v>
      </c>
      <c r="I29">
        <v>67337</v>
      </c>
      <c r="J29">
        <v>66615</v>
      </c>
      <c r="K29">
        <v>161</v>
      </c>
      <c r="L29" t="s">
        <v>51</v>
      </c>
      <c r="M29" t="s">
        <v>28</v>
      </c>
      <c r="N29" s="37">
        <f>(Table10_1[[#This Row],[Likes]]+Table10_1[[#This Row],[Shares]]+Table10_1[[#This Row],[Comments]])/Table10_1[[#This Row],[Impressions]]</f>
        <v>7.2070332803659209E-2</v>
      </c>
    </row>
    <row r="30" spans="1:14" x14ac:dyDescent="0.25">
      <c r="A30" t="s">
        <v>74</v>
      </c>
      <c r="B30" t="s">
        <v>14</v>
      </c>
      <c r="C30" s="17">
        <v>45757</v>
      </c>
      <c r="D30" t="s">
        <v>39</v>
      </c>
      <c r="E30" t="s">
        <v>42</v>
      </c>
      <c r="F30">
        <v>3128</v>
      </c>
      <c r="G30">
        <v>211</v>
      </c>
      <c r="H30">
        <v>197</v>
      </c>
      <c r="I30">
        <v>59432</v>
      </c>
      <c r="J30">
        <v>59182</v>
      </c>
      <c r="K30">
        <v>238</v>
      </c>
      <c r="L30" t="s">
        <v>33</v>
      </c>
      <c r="N30" s="37">
        <f>(Table10_1[[#This Row],[Likes]]+Table10_1[[#This Row],[Shares]]+Table10_1[[#This Row],[Comments]])/Table10_1[[#This Row],[Impressions]]</f>
        <v>5.9496567505720827E-2</v>
      </c>
    </row>
    <row r="31" spans="1:14" x14ac:dyDescent="0.25">
      <c r="A31" t="s">
        <v>75</v>
      </c>
      <c r="B31" t="s">
        <v>25</v>
      </c>
      <c r="C31" s="17">
        <v>45752</v>
      </c>
      <c r="D31" t="s">
        <v>15</v>
      </c>
      <c r="E31" t="s">
        <v>26</v>
      </c>
      <c r="F31">
        <v>3009</v>
      </c>
      <c r="G31">
        <v>413</v>
      </c>
      <c r="H31">
        <v>358</v>
      </c>
      <c r="I31">
        <v>42126</v>
      </c>
      <c r="J31">
        <v>41309</v>
      </c>
      <c r="K31">
        <v>211</v>
      </c>
      <c r="L31" t="s">
        <v>51</v>
      </c>
      <c r="M31" t="s">
        <v>23</v>
      </c>
      <c r="N31" s="37">
        <f>(Table10_1[[#This Row],[Likes]]+Table10_1[[#This Row],[Shares]]+Table10_1[[#This Row],[Comments]])/Table10_1[[#This Row],[Impressions]]</f>
        <v>8.9730807577268201E-2</v>
      </c>
    </row>
    <row r="32" spans="1:14" x14ac:dyDescent="0.25">
      <c r="A32" t="s">
        <v>76</v>
      </c>
      <c r="B32" t="s">
        <v>25</v>
      </c>
      <c r="C32" s="17">
        <v>45552</v>
      </c>
      <c r="D32" t="s">
        <v>20</v>
      </c>
      <c r="E32" t="s">
        <v>77</v>
      </c>
      <c r="F32">
        <v>2076</v>
      </c>
      <c r="G32">
        <v>195</v>
      </c>
      <c r="H32">
        <v>104</v>
      </c>
      <c r="I32">
        <v>33216</v>
      </c>
      <c r="J32">
        <v>32244</v>
      </c>
      <c r="K32">
        <v>51</v>
      </c>
      <c r="L32" t="s">
        <v>51</v>
      </c>
      <c r="M32" t="s">
        <v>34</v>
      </c>
      <c r="N32" s="37">
        <f>(Table10_1[[#This Row],[Likes]]+Table10_1[[#This Row],[Shares]]+Table10_1[[#This Row],[Comments]])/Table10_1[[#This Row],[Impressions]]</f>
        <v>7.1501685934489398E-2</v>
      </c>
    </row>
    <row r="33" spans="1:14" x14ac:dyDescent="0.25">
      <c r="A33" t="s">
        <v>78</v>
      </c>
      <c r="B33" t="s">
        <v>30</v>
      </c>
      <c r="C33" s="17">
        <v>45720</v>
      </c>
      <c r="D33" t="s">
        <v>59</v>
      </c>
      <c r="E33" t="s">
        <v>66</v>
      </c>
      <c r="F33">
        <v>432</v>
      </c>
      <c r="G33">
        <v>624</v>
      </c>
      <c r="H33">
        <v>123</v>
      </c>
      <c r="I33">
        <v>6912</v>
      </c>
      <c r="J33">
        <v>6259</v>
      </c>
      <c r="K33">
        <v>79</v>
      </c>
      <c r="L33" t="s">
        <v>51</v>
      </c>
      <c r="M33" t="s">
        <v>34</v>
      </c>
      <c r="N33" s="37">
        <f>(Table10_1[[#This Row],[Likes]]+Table10_1[[#This Row],[Shares]]+Table10_1[[#This Row],[Comments]])/Table10_1[[#This Row],[Impressions]]</f>
        <v>0.17057291666666666</v>
      </c>
    </row>
    <row r="34" spans="1:14" x14ac:dyDescent="0.25">
      <c r="A34" t="s">
        <v>79</v>
      </c>
      <c r="B34" t="s">
        <v>30</v>
      </c>
      <c r="C34" s="17">
        <v>45688</v>
      </c>
      <c r="D34" t="s">
        <v>39</v>
      </c>
      <c r="E34" t="s">
        <v>68</v>
      </c>
      <c r="F34">
        <v>2566</v>
      </c>
      <c r="G34">
        <v>118</v>
      </c>
      <c r="H34">
        <v>37</v>
      </c>
      <c r="I34">
        <v>12830</v>
      </c>
      <c r="J34">
        <v>12264</v>
      </c>
      <c r="K34">
        <v>221</v>
      </c>
      <c r="L34" t="s">
        <v>51</v>
      </c>
      <c r="M34" t="s">
        <v>28</v>
      </c>
      <c r="N34" s="37">
        <f>(Table10_1[[#This Row],[Likes]]+Table10_1[[#This Row],[Shares]]+Table10_1[[#This Row],[Comments]])/Table10_1[[#This Row],[Impressions]]</f>
        <v>0.21208106001558846</v>
      </c>
    </row>
    <row r="35" spans="1:14" x14ac:dyDescent="0.25">
      <c r="A35" t="s">
        <v>80</v>
      </c>
      <c r="B35" t="s">
        <v>30</v>
      </c>
      <c r="C35" s="17">
        <v>45713</v>
      </c>
      <c r="D35" t="s">
        <v>59</v>
      </c>
      <c r="E35" t="s">
        <v>66</v>
      </c>
      <c r="F35">
        <v>3095</v>
      </c>
      <c r="G35">
        <v>39</v>
      </c>
      <c r="H35">
        <v>78</v>
      </c>
      <c r="I35">
        <v>55710</v>
      </c>
      <c r="J35">
        <v>54808</v>
      </c>
      <c r="K35">
        <v>93</v>
      </c>
      <c r="L35" t="s">
        <v>33</v>
      </c>
      <c r="N35" s="37">
        <f>(Table10_1[[#This Row],[Likes]]+Table10_1[[#This Row],[Shares]]+Table10_1[[#This Row],[Comments]])/Table10_1[[#This Row],[Impressions]]</f>
        <v>5.7655717106444085E-2</v>
      </c>
    </row>
    <row r="36" spans="1:14" x14ac:dyDescent="0.25">
      <c r="A36" t="s">
        <v>81</v>
      </c>
      <c r="B36" t="s">
        <v>30</v>
      </c>
      <c r="C36" s="17">
        <v>45642</v>
      </c>
      <c r="D36" t="s">
        <v>20</v>
      </c>
      <c r="E36" t="s">
        <v>82</v>
      </c>
      <c r="F36">
        <v>438</v>
      </c>
      <c r="G36">
        <v>153</v>
      </c>
      <c r="H36">
        <v>275</v>
      </c>
      <c r="I36">
        <v>3066</v>
      </c>
      <c r="J36">
        <v>2701</v>
      </c>
      <c r="K36">
        <v>282</v>
      </c>
      <c r="L36" t="s">
        <v>27</v>
      </c>
      <c r="M36" t="s">
        <v>23</v>
      </c>
      <c r="N36" s="37">
        <f>(Table10_1[[#This Row],[Likes]]+Table10_1[[#This Row],[Shares]]+Table10_1[[#This Row],[Comments]])/Table10_1[[#This Row],[Impressions]]</f>
        <v>0.28245270711024134</v>
      </c>
    </row>
    <row r="37" spans="1:14" x14ac:dyDescent="0.25">
      <c r="A37" t="s">
        <v>83</v>
      </c>
      <c r="B37" t="s">
        <v>14</v>
      </c>
      <c r="C37" s="17">
        <v>45504</v>
      </c>
      <c r="D37" t="s">
        <v>39</v>
      </c>
      <c r="E37" t="s">
        <v>42</v>
      </c>
      <c r="F37">
        <v>2278</v>
      </c>
      <c r="G37">
        <v>10</v>
      </c>
      <c r="H37">
        <v>321</v>
      </c>
      <c r="I37">
        <v>13668</v>
      </c>
      <c r="J37">
        <v>12676</v>
      </c>
      <c r="K37">
        <v>275</v>
      </c>
      <c r="L37" t="s">
        <v>33</v>
      </c>
      <c r="M37" t="s">
        <v>18</v>
      </c>
      <c r="N37" s="37">
        <f>(Table10_1[[#This Row],[Likes]]+Table10_1[[#This Row],[Shares]]+Table10_1[[#This Row],[Comments]])/Table10_1[[#This Row],[Impressions]]</f>
        <v>0.19088381621305239</v>
      </c>
    </row>
    <row r="38" spans="1:14" x14ac:dyDescent="0.25">
      <c r="A38" t="s">
        <v>84</v>
      </c>
      <c r="B38" t="s">
        <v>38</v>
      </c>
      <c r="C38" s="17">
        <v>45525</v>
      </c>
      <c r="D38" t="s">
        <v>44</v>
      </c>
      <c r="E38" t="s">
        <v>49</v>
      </c>
      <c r="F38">
        <v>1407</v>
      </c>
      <c r="G38">
        <v>400</v>
      </c>
      <c r="H38">
        <v>351</v>
      </c>
      <c r="I38">
        <v>16884</v>
      </c>
      <c r="J38">
        <v>15954</v>
      </c>
      <c r="K38">
        <v>113</v>
      </c>
      <c r="L38" t="s">
        <v>27</v>
      </c>
      <c r="M38" t="s">
        <v>18</v>
      </c>
      <c r="N38" s="37">
        <f>(Table10_1[[#This Row],[Likes]]+Table10_1[[#This Row],[Shares]]+Table10_1[[#This Row],[Comments]])/Table10_1[[#This Row],[Impressions]]</f>
        <v>0.12781331438047855</v>
      </c>
    </row>
    <row r="39" spans="1:14" x14ac:dyDescent="0.25">
      <c r="A39" t="s">
        <v>85</v>
      </c>
      <c r="B39" t="s">
        <v>38</v>
      </c>
      <c r="C39" s="17">
        <v>45742</v>
      </c>
      <c r="D39" t="s">
        <v>20</v>
      </c>
      <c r="E39" t="s">
        <v>47</v>
      </c>
      <c r="F39">
        <v>1652</v>
      </c>
      <c r="G39">
        <v>89</v>
      </c>
      <c r="H39">
        <v>357</v>
      </c>
      <c r="I39">
        <v>29736</v>
      </c>
      <c r="J39">
        <v>28771</v>
      </c>
      <c r="K39">
        <v>215</v>
      </c>
      <c r="L39" t="s">
        <v>27</v>
      </c>
      <c r="M39" t="s">
        <v>28</v>
      </c>
      <c r="N39" s="37">
        <f>(Table10_1[[#This Row],[Likes]]+Table10_1[[#This Row],[Shares]]+Table10_1[[#This Row],[Comments]])/Table10_1[[#This Row],[Impressions]]</f>
        <v>7.055421038471886E-2</v>
      </c>
    </row>
    <row r="40" spans="1:14" x14ac:dyDescent="0.25">
      <c r="A40" t="s">
        <v>86</v>
      </c>
      <c r="B40" t="s">
        <v>30</v>
      </c>
      <c r="C40" s="17">
        <v>45626</v>
      </c>
      <c r="D40" t="s">
        <v>59</v>
      </c>
      <c r="E40" t="s">
        <v>66</v>
      </c>
      <c r="F40">
        <v>3775</v>
      </c>
      <c r="G40">
        <v>16</v>
      </c>
      <c r="H40">
        <v>239</v>
      </c>
      <c r="I40">
        <v>33975</v>
      </c>
      <c r="J40">
        <v>33310</v>
      </c>
      <c r="K40">
        <v>271</v>
      </c>
      <c r="L40" t="s">
        <v>51</v>
      </c>
      <c r="M40" t="s">
        <v>23</v>
      </c>
      <c r="N40" s="37">
        <f>(Table10_1[[#This Row],[Likes]]+Table10_1[[#This Row],[Shares]]+Table10_1[[#This Row],[Comments]])/Table10_1[[#This Row],[Impressions]]</f>
        <v>0.11861662987490802</v>
      </c>
    </row>
    <row r="41" spans="1:14" x14ac:dyDescent="0.25">
      <c r="A41" t="s">
        <v>87</v>
      </c>
      <c r="B41" t="s">
        <v>30</v>
      </c>
      <c r="C41" s="17">
        <v>45766</v>
      </c>
      <c r="D41" t="s">
        <v>31</v>
      </c>
      <c r="E41" t="s">
        <v>32</v>
      </c>
      <c r="F41">
        <v>4518</v>
      </c>
      <c r="G41">
        <v>285</v>
      </c>
      <c r="H41">
        <v>383</v>
      </c>
      <c r="I41">
        <v>67770</v>
      </c>
      <c r="J41">
        <v>67621</v>
      </c>
      <c r="K41">
        <v>31</v>
      </c>
      <c r="L41" t="s">
        <v>33</v>
      </c>
      <c r="M41" t="s">
        <v>23</v>
      </c>
      <c r="N41" s="37">
        <f>(Table10_1[[#This Row],[Likes]]+Table10_1[[#This Row],[Shares]]+Table10_1[[#This Row],[Comments]])/Table10_1[[#This Row],[Impressions]]</f>
        <v>7.6523535487678915E-2</v>
      </c>
    </row>
    <row r="42" spans="1:14" x14ac:dyDescent="0.25">
      <c r="A42" t="s">
        <v>88</v>
      </c>
      <c r="B42" t="s">
        <v>38</v>
      </c>
      <c r="C42" s="17">
        <v>45663</v>
      </c>
      <c r="D42" t="s">
        <v>39</v>
      </c>
      <c r="E42" t="s">
        <v>40</v>
      </c>
      <c r="F42">
        <v>3024</v>
      </c>
      <c r="G42">
        <v>925</v>
      </c>
      <c r="H42">
        <v>350</v>
      </c>
      <c r="I42">
        <v>24192</v>
      </c>
      <c r="J42">
        <v>23518</v>
      </c>
      <c r="K42">
        <v>36</v>
      </c>
      <c r="L42" t="s">
        <v>33</v>
      </c>
      <c r="M42" t="s">
        <v>23</v>
      </c>
      <c r="N42" s="37">
        <f>(Table10_1[[#This Row],[Likes]]+Table10_1[[#This Row],[Shares]]+Table10_1[[#This Row],[Comments]])/Table10_1[[#This Row],[Impressions]]</f>
        <v>0.17770337301587302</v>
      </c>
    </row>
    <row r="43" spans="1:14" x14ac:dyDescent="0.25">
      <c r="A43" t="s">
        <v>89</v>
      </c>
      <c r="B43" t="s">
        <v>25</v>
      </c>
      <c r="C43" s="17">
        <v>45705</v>
      </c>
      <c r="D43" t="s">
        <v>15</v>
      </c>
      <c r="E43" t="s">
        <v>26</v>
      </c>
      <c r="F43">
        <v>3138</v>
      </c>
      <c r="G43">
        <v>123</v>
      </c>
      <c r="H43">
        <v>291</v>
      </c>
      <c r="I43">
        <v>28242</v>
      </c>
      <c r="J43">
        <v>27550</v>
      </c>
      <c r="K43">
        <v>87</v>
      </c>
      <c r="L43" t="s">
        <v>27</v>
      </c>
      <c r="M43" t="s">
        <v>34</v>
      </c>
      <c r="N43" s="37">
        <f>(Table10_1[[#This Row],[Likes]]+Table10_1[[#This Row],[Shares]]+Table10_1[[#This Row],[Comments]])/Table10_1[[#This Row],[Impressions]]</f>
        <v>0.12577012959422137</v>
      </c>
    </row>
    <row r="44" spans="1:14" x14ac:dyDescent="0.25">
      <c r="A44" t="s">
        <v>90</v>
      </c>
      <c r="B44" t="s">
        <v>38</v>
      </c>
      <c r="C44" s="17">
        <v>45621</v>
      </c>
      <c r="D44" t="s">
        <v>44</v>
      </c>
      <c r="E44" t="s">
        <v>49</v>
      </c>
      <c r="F44">
        <v>3564</v>
      </c>
      <c r="G44">
        <v>629</v>
      </c>
      <c r="H44">
        <v>177</v>
      </c>
      <c r="I44">
        <v>60588</v>
      </c>
      <c r="J44">
        <v>59627</v>
      </c>
      <c r="K44">
        <v>92</v>
      </c>
      <c r="L44" t="s">
        <v>27</v>
      </c>
      <c r="N44" s="37">
        <f>(Table10_1[[#This Row],[Likes]]+Table10_1[[#This Row],[Shares]]+Table10_1[[#This Row],[Comments]])/Table10_1[[#This Row],[Impressions]]</f>
        <v>7.2126493695121141E-2</v>
      </c>
    </row>
    <row r="45" spans="1:14" x14ac:dyDescent="0.25">
      <c r="A45" t="s">
        <v>91</v>
      </c>
      <c r="B45" t="s">
        <v>14</v>
      </c>
      <c r="C45" s="17">
        <v>45723</v>
      </c>
      <c r="D45" t="s">
        <v>44</v>
      </c>
      <c r="E45" t="s">
        <v>92</v>
      </c>
      <c r="F45">
        <v>4750</v>
      </c>
      <c r="G45">
        <v>151</v>
      </c>
      <c r="H45">
        <v>415</v>
      </c>
      <c r="I45">
        <v>38000</v>
      </c>
      <c r="J45">
        <v>37792</v>
      </c>
      <c r="K45">
        <v>299</v>
      </c>
      <c r="L45" t="s">
        <v>33</v>
      </c>
      <c r="M45" t="s">
        <v>34</v>
      </c>
      <c r="N45" s="37">
        <f>(Table10_1[[#This Row],[Likes]]+Table10_1[[#This Row],[Shares]]+Table10_1[[#This Row],[Comments]])/Table10_1[[#This Row],[Impressions]]</f>
        <v>0.13989473684210527</v>
      </c>
    </row>
    <row r="46" spans="1:14" x14ac:dyDescent="0.25">
      <c r="A46" t="s">
        <v>93</v>
      </c>
      <c r="B46" t="s">
        <v>30</v>
      </c>
      <c r="C46" s="17">
        <v>45724</v>
      </c>
      <c r="D46" t="s">
        <v>15</v>
      </c>
      <c r="E46" t="s">
        <v>64</v>
      </c>
      <c r="F46">
        <v>456</v>
      </c>
      <c r="G46">
        <v>629</v>
      </c>
      <c r="H46">
        <v>428</v>
      </c>
      <c r="I46">
        <v>8208</v>
      </c>
      <c r="J46">
        <v>7377</v>
      </c>
      <c r="K46">
        <v>205</v>
      </c>
      <c r="L46" t="s">
        <v>51</v>
      </c>
      <c r="M46" t="s">
        <v>34</v>
      </c>
      <c r="N46" s="37">
        <f>(Table10_1[[#This Row],[Likes]]+Table10_1[[#This Row],[Shares]]+Table10_1[[#This Row],[Comments]])/Table10_1[[#This Row],[Impressions]]</f>
        <v>0.18433235867446393</v>
      </c>
    </row>
    <row r="47" spans="1:14" x14ac:dyDescent="0.25">
      <c r="A47" t="s">
        <v>94</v>
      </c>
      <c r="B47" t="s">
        <v>25</v>
      </c>
      <c r="C47" s="17">
        <v>45721</v>
      </c>
      <c r="D47" t="s">
        <v>15</v>
      </c>
      <c r="E47" t="s">
        <v>26</v>
      </c>
      <c r="F47">
        <v>1543</v>
      </c>
      <c r="G47">
        <v>820</v>
      </c>
      <c r="H47">
        <v>333</v>
      </c>
      <c r="I47">
        <v>12344</v>
      </c>
      <c r="J47">
        <v>11496</v>
      </c>
      <c r="K47">
        <v>241</v>
      </c>
      <c r="L47" t="s">
        <v>33</v>
      </c>
      <c r="N47" s="37">
        <f>(Table10_1[[#This Row],[Likes]]+Table10_1[[#This Row],[Shares]]+Table10_1[[#This Row],[Comments]])/Table10_1[[#This Row],[Impressions]]</f>
        <v>0.21840570317563188</v>
      </c>
    </row>
    <row r="48" spans="1:14" x14ac:dyDescent="0.25">
      <c r="A48" t="s">
        <v>95</v>
      </c>
      <c r="B48" t="s">
        <v>30</v>
      </c>
      <c r="C48" s="17">
        <v>45640</v>
      </c>
      <c r="D48" t="s">
        <v>39</v>
      </c>
      <c r="E48" t="s">
        <v>68</v>
      </c>
      <c r="F48">
        <v>2174</v>
      </c>
      <c r="G48">
        <v>658</v>
      </c>
      <c r="H48">
        <v>15</v>
      </c>
      <c r="I48">
        <v>13044</v>
      </c>
      <c r="J48">
        <v>12206</v>
      </c>
      <c r="K48">
        <v>137</v>
      </c>
      <c r="L48" t="s">
        <v>27</v>
      </c>
      <c r="M48" t="s">
        <v>28</v>
      </c>
      <c r="N48" s="37">
        <f>(Table10_1[[#This Row],[Likes]]+Table10_1[[#This Row],[Shares]]+Table10_1[[#This Row],[Comments]])/Table10_1[[#This Row],[Impressions]]</f>
        <v>0.21826126954921804</v>
      </c>
    </row>
    <row r="49" spans="1:14" x14ac:dyDescent="0.25">
      <c r="A49" t="s">
        <v>96</v>
      </c>
      <c r="B49" t="s">
        <v>14</v>
      </c>
      <c r="C49" s="17">
        <v>45718</v>
      </c>
      <c r="D49" t="s">
        <v>44</v>
      </c>
      <c r="E49" t="s">
        <v>92</v>
      </c>
      <c r="F49">
        <v>2358</v>
      </c>
      <c r="G49">
        <v>784</v>
      </c>
      <c r="H49">
        <v>344</v>
      </c>
      <c r="I49">
        <v>35370</v>
      </c>
      <c r="J49">
        <v>34475</v>
      </c>
      <c r="K49">
        <v>216</v>
      </c>
      <c r="L49" t="s">
        <v>27</v>
      </c>
      <c r="N49" s="37">
        <f>(Table10_1[[#This Row],[Likes]]+Table10_1[[#This Row],[Shares]]+Table10_1[[#This Row],[Comments]])/Table10_1[[#This Row],[Impressions]]</f>
        <v>9.8558100084817649E-2</v>
      </c>
    </row>
    <row r="50" spans="1:14" x14ac:dyDescent="0.25">
      <c r="A50" t="s">
        <v>97</v>
      </c>
      <c r="B50" t="s">
        <v>38</v>
      </c>
      <c r="C50" s="17">
        <v>45597</v>
      </c>
      <c r="D50" t="s">
        <v>59</v>
      </c>
      <c r="E50" t="s">
        <v>60</v>
      </c>
      <c r="F50">
        <v>3371</v>
      </c>
      <c r="G50">
        <v>106</v>
      </c>
      <c r="H50">
        <v>327</v>
      </c>
      <c r="I50">
        <v>50565</v>
      </c>
      <c r="J50">
        <v>49816</v>
      </c>
      <c r="K50">
        <v>176</v>
      </c>
      <c r="L50" t="s">
        <v>51</v>
      </c>
      <c r="M50" t="s">
        <v>18</v>
      </c>
      <c r="N50" s="37">
        <f>(Table10_1[[#This Row],[Likes]]+Table10_1[[#This Row],[Shares]]+Table10_1[[#This Row],[Comments]])/Table10_1[[#This Row],[Impressions]]</f>
        <v>7.5229902106199939E-2</v>
      </c>
    </row>
    <row r="51" spans="1:14" x14ac:dyDescent="0.25">
      <c r="A51" t="s">
        <v>98</v>
      </c>
      <c r="B51" t="s">
        <v>14</v>
      </c>
      <c r="C51" s="17">
        <v>45779</v>
      </c>
      <c r="D51" t="s">
        <v>59</v>
      </c>
      <c r="E51" t="s">
        <v>99</v>
      </c>
      <c r="F51">
        <v>1108</v>
      </c>
      <c r="G51">
        <v>177</v>
      </c>
      <c r="H51">
        <v>212</v>
      </c>
      <c r="I51">
        <v>8864</v>
      </c>
      <c r="J51">
        <v>8710</v>
      </c>
      <c r="K51">
        <v>97</v>
      </c>
      <c r="L51" t="s">
        <v>27</v>
      </c>
      <c r="M51" t="s">
        <v>34</v>
      </c>
      <c r="N51" s="37">
        <f>(Table10_1[[#This Row],[Likes]]+Table10_1[[#This Row],[Shares]]+Table10_1[[#This Row],[Comments]])/Table10_1[[#This Row],[Impressions]]</f>
        <v>0.16888537906137185</v>
      </c>
    </row>
    <row r="52" spans="1:14" x14ac:dyDescent="0.25">
      <c r="A52" t="s">
        <v>100</v>
      </c>
      <c r="B52" t="s">
        <v>14</v>
      </c>
      <c r="C52" s="17">
        <v>45712</v>
      </c>
      <c r="D52" t="s">
        <v>39</v>
      </c>
      <c r="E52" t="s">
        <v>42</v>
      </c>
      <c r="F52">
        <v>2704</v>
      </c>
      <c r="G52">
        <v>752</v>
      </c>
      <c r="H52">
        <v>153</v>
      </c>
      <c r="I52">
        <v>21632</v>
      </c>
      <c r="J52">
        <v>20792</v>
      </c>
      <c r="K52">
        <v>127</v>
      </c>
      <c r="L52" t="s">
        <v>51</v>
      </c>
      <c r="N52" s="37">
        <f>(Table10_1[[#This Row],[Likes]]+Table10_1[[#This Row],[Shares]]+Table10_1[[#This Row],[Comments]])/Table10_1[[#This Row],[Impressions]]</f>
        <v>0.16683616863905326</v>
      </c>
    </row>
    <row r="53" spans="1:14" x14ac:dyDescent="0.25">
      <c r="A53" t="s">
        <v>101</v>
      </c>
      <c r="B53" t="s">
        <v>14</v>
      </c>
      <c r="C53" s="17">
        <v>45727</v>
      </c>
      <c r="D53" t="s">
        <v>31</v>
      </c>
      <c r="E53" t="s">
        <v>102</v>
      </c>
      <c r="F53">
        <v>1950</v>
      </c>
      <c r="G53">
        <v>295</v>
      </c>
      <c r="H53">
        <v>478</v>
      </c>
      <c r="I53">
        <v>37050</v>
      </c>
      <c r="J53">
        <v>36272</v>
      </c>
      <c r="K53">
        <v>119</v>
      </c>
      <c r="L53" t="s">
        <v>27</v>
      </c>
      <c r="N53" s="37">
        <f>(Table10_1[[#This Row],[Likes]]+Table10_1[[#This Row],[Shares]]+Table10_1[[#This Row],[Comments]])/Table10_1[[#This Row],[Impressions]]</f>
        <v>7.349527665317139E-2</v>
      </c>
    </row>
    <row r="54" spans="1:14" x14ac:dyDescent="0.25">
      <c r="A54" t="s">
        <v>103</v>
      </c>
      <c r="B54" t="s">
        <v>14</v>
      </c>
      <c r="C54" s="17">
        <v>45453</v>
      </c>
      <c r="D54" t="s">
        <v>31</v>
      </c>
      <c r="E54" t="s">
        <v>102</v>
      </c>
      <c r="F54">
        <v>2164</v>
      </c>
      <c r="G54">
        <v>549</v>
      </c>
      <c r="H54">
        <v>274</v>
      </c>
      <c r="I54">
        <v>28132</v>
      </c>
      <c r="J54">
        <v>27361</v>
      </c>
      <c r="K54">
        <v>177</v>
      </c>
      <c r="L54" t="s">
        <v>27</v>
      </c>
      <c r="M54" t="s">
        <v>34</v>
      </c>
      <c r="N54" s="37">
        <f>(Table10_1[[#This Row],[Likes]]+Table10_1[[#This Row],[Shares]]+Table10_1[[#This Row],[Comments]])/Table10_1[[#This Row],[Impressions]]</f>
        <v>0.10617801791554102</v>
      </c>
    </row>
    <row r="55" spans="1:14" x14ac:dyDescent="0.25">
      <c r="A55" t="s">
        <v>104</v>
      </c>
      <c r="B55" t="s">
        <v>25</v>
      </c>
      <c r="C55" s="17">
        <v>45476</v>
      </c>
      <c r="D55" t="s">
        <v>31</v>
      </c>
      <c r="E55" t="s">
        <v>105</v>
      </c>
      <c r="F55">
        <v>2754</v>
      </c>
      <c r="G55">
        <v>130</v>
      </c>
      <c r="H55">
        <v>90</v>
      </c>
      <c r="I55">
        <v>22032</v>
      </c>
      <c r="J55">
        <v>21288</v>
      </c>
      <c r="K55">
        <v>112</v>
      </c>
      <c r="L55" t="s">
        <v>27</v>
      </c>
      <c r="M55" t="s">
        <v>28</v>
      </c>
      <c r="N55" s="37">
        <f>(Table10_1[[#This Row],[Likes]]+Table10_1[[#This Row],[Shares]]+Table10_1[[#This Row],[Comments]])/Table10_1[[#This Row],[Impressions]]</f>
        <v>0.13498547567175018</v>
      </c>
    </row>
    <row r="56" spans="1:14" x14ac:dyDescent="0.25">
      <c r="A56" t="s">
        <v>106</v>
      </c>
      <c r="B56" t="s">
        <v>38</v>
      </c>
      <c r="C56" s="17">
        <v>45456</v>
      </c>
      <c r="D56" t="s">
        <v>39</v>
      </c>
      <c r="E56" t="s">
        <v>40</v>
      </c>
      <c r="F56">
        <v>2200</v>
      </c>
      <c r="G56">
        <v>504</v>
      </c>
      <c r="H56">
        <v>239</v>
      </c>
      <c r="I56">
        <v>37400</v>
      </c>
      <c r="J56">
        <v>36938</v>
      </c>
      <c r="K56">
        <v>225</v>
      </c>
      <c r="L56" t="s">
        <v>51</v>
      </c>
      <c r="M56" t="s">
        <v>23</v>
      </c>
      <c r="N56" s="37">
        <f>(Table10_1[[#This Row],[Likes]]+Table10_1[[#This Row],[Shares]]+Table10_1[[#This Row],[Comments]])/Table10_1[[#This Row],[Impressions]]</f>
        <v>7.8689839572192513E-2</v>
      </c>
    </row>
    <row r="57" spans="1:14" x14ac:dyDescent="0.25">
      <c r="A57" t="s">
        <v>107</v>
      </c>
      <c r="B57" t="s">
        <v>38</v>
      </c>
      <c r="C57" s="17">
        <v>45660</v>
      </c>
      <c r="D57" t="s">
        <v>44</v>
      </c>
      <c r="E57" t="s">
        <v>49</v>
      </c>
      <c r="F57">
        <v>947</v>
      </c>
      <c r="G57">
        <v>338</v>
      </c>
      <c r="H57">
        <v>350</v>
      </c>
      <c r="I57">
        <v>10417</v>
      </c>
      <c r="J57">
        <v>9730</v>
      </c>
      <c r="K57">
        <v>34</v>
      </c>
      <c r="L57" t="s">
        <v>27</v>
      </c>
      <c r="M57" t="s">
        <v>34</v>
      </c>
      <c r="N57" s="37">
        <f>(Table10_1[[#This Row],[Likes]]+Table10_1[[#This Row],[Shares]]+Table10_1[[#This Row],[Comments]])/Table10_1[[#This Row],[Impressions]]</f>
        <v>0.1569549774407219</v>
      </c>
    </row>
    <row r="58" spans="1:14" x14ac:dyDescent="0.25">
      <c r="A58" t="s">
        <v>108</v>
      </c>
      <c r="B58" t="s">
        <v>25</v>
      </c>
      <c r="C58" s="17">
        <v>45712</v>
      </c>
      <c r="D58" t="s">
        <v>39</v>
      </c>
      <c r="E58" t="s">
        <v>55</v>
      </c>
      <c r="F58">
        <v>804</v>
      </c>
      <c r="G58">
        <v>639</v>
      </c>
      <c r="H58">
        <v>43</v>
      </c>
      <c r="I58">
        <v>4020</v>
      </c>
      <c r="J58">
        <v>3144</v>
      </c>
      <c r="K58">
        <v>11</v>
      </c>
      <c r="L58" t="s">
        <v>33</v>
      </c>
      <c r="N58" s="37">
        <f>(Table10_1[[#This Row],[Likes]]+Table10_1[[#This Row],[Shares]]+Table10_1[[#This Row],[Comments]])/Table10_1[[#This Row],[Impressions]]</f>
        <v>0.36965174129353234</v>
      </c>
    </row>
    <row r="59" spans="1:14" x14ac:dyDescent="0.25">
      <c r="A59" t="s">
        <v>108</v>
      </c>
      <c r="B59" t="s">
        <v>25</v>
      </c>
      <c r="C59" s="17">
        <v>45712</v>
      </c>
      <c r="D59" t="s">
        <v>39</v>
      </c>
      <c r="E59" t="s">
        <v>55</v>
      </c>
      <c r="F59">
        <v>804</v>
      </c>
      <c r="G59">
        <v>639</v>
      </c>
      <c r="H59">
        <v>43</v>
      </c>
      <c r="I59">
        <v>4020</v>
      </c>
      <c r="J59">
        <v>3144</v>
      </c>
      <c r="K59">
        <v>11</v>
      </c>
      <c r="L59" t="s">
        <v>380</v>
      </c>
      <c r="N59" s="37">
        <f>(Table10_1[[#This Row],[Likes]]+Table10_1[[#This Row],[Shares]]+Table10_1[[#This Row],[Comments]])/Table10_1[[#This Row],[Impressions]]</f>
        <v>0.36965174129353234</v>
      </c>
    </row>
    <row r="60" spans="1:14" x14ac:dyDescent="0.25">
      <c r="A60" t="s">
        <v>110</v>
      </c>
      <c r="B60" t="s">
        <v>25</v>
      </c>
      <c r="C60" s="17">
        <v>45729</v>
      </c>
      <c r="D60" t="s">
        <v>39</v>
      </c>
      <c r="E60" t="s">
        <v>55</v>
      </c>
      <c r="F60">
        <v>1686</v>
      </c>
      <c r="G60">
        <v>904</v>
      </c>
      <c r="H60">
        <v>472</v>
      </c>
      <c r="I60">
        <v>18546</v>
      </c>
      <c r="J60">
        <v>18171</v>
      </c>
      <c r="K60">
        <v>52</v>
      </c>
      <c r="L60" t="s">
        <v>51</v>
      </c>
      <c r="M60" t="s">
        <v>23</v>
      </c>
      <c r="N60" s="37">
        <f>(Table10_1[[#This Row],[Likes]]+Table10_1[[#This Row],[Shares]]+Table10_1[[#This Row],[Comments]])/Table10_1[[#This Row],[Impressions]]</f>
        <v>0.16510298716704411</v>
      </c>
    </row>
    <row r="61" spans="1:14" x14ac:dyDescent="0.25">
      <c r="A61" t="s">
        <v>111</v>
      </c>
      <c r="B61" t="s">
        <v>38</v>
      </c>
      <c r="C61" s="17">
        <v>45460</v>
      </c>
      <c r="D61" t="s">
        <v>44</v>
      </c>
      <c r="E61" t="s">
        <v>49</v>
      </c>
      <c r="F61">
        <v>1226</v>
      </c>
      <c r="G61">
        <v>119</v>
      </c>
      <c r="H61">
        <v>7</v>
      </c>
      <c r="I61">
        <v>14712</v>
      </c>
      <c r="J61">
        <v>14049</v>
      </c>
      <c r="K61">
        <v>123</v>
      </c>
      <c r="L61" t="s">
        <v>33</v>
      </c>
      <c r="M61" t="s">
        <v>34</v>
      </c>
      <c r="N61" s="37">
        <f>(Table10_1[[#This Row],[Likes]]+Table10_1[[#This Row],[Shares]]+Table10_1[[#This Row],[Comments]])/Table10_1[[#This Row],[Impressions]]</f>
        <v>9.1897770527460579E-2</v>
      </c>
    </row>
    <row r="62" spans="1:14" x14ac:dyDescent="0.25">
      <c r="A62" t="s">
        <v>112</v>
      </c>
      <c r="B62" t="s">
        <v>38</v>
      </c>
      <c r="C62" s="17">
        <v>45644</v>
      </c>
      <c r="D62" t="s">
        <v>39</v>
      </c>
      <c r="E62" t="s">
        <v>40</v>
      </c>
      <c r="F62">
        <v>2946</v>
      </c>
      <c r="G62">
        <v>498</v>
      </c>
      <c r="H62">
        <v>367</v>
      </c>
      <c r="I62">
        <v>29460</v>
      </c>
      <c r="J62">
        <v>28527</v>
      </c>
      <c r="K62">
        <v>60</v>
      </c>
      <c r="L62" t="s">
        <v>51</v>
      </c>
      <c r="M62" t="s">
        <v>28</v>
      </c>
      <c r="N62" s="37">
        <f>(Table10_1[[#This Row],[Likes]]+Table10_1[[#This Row],[Shares]]+Table10_1[[#This Row],[Comments]])/Table10_1[[#This Row],[Impressions]]</f>
        <v>0.12936184657162253</v>
      </c>
    </row>
    <row r="63" spans="1:14" x14ac:dyDescent="0.25">
      <c r="A63" t="s">
        <v>113</v>
      </c>
      <c r="B63" t="s">
        <v>14</v>
      </c>
      <c r="C63" s="17">
        <v>45586</v>
      </c>
      <c r="D63" t="s">
        <v>59</v>
      </c>
      <c r="E63" t="s">
        <v>99</v>
      </c>
      <c r="F63">
        <v>2825</v>
      </c>
      <c r="G63">
        <v>535</v>
      </c>
      <c r="H63">
        <v>295</v>
      </c>
      <c r="I63">
        <v>45200</v>
      </c>
      <c r="J63">
        <v>44739</v>
      </c>
      <c r="K63">
        <v>169</v>
      </c>
      <c r="L63" t="s">
        <v>27</v>
      </c>
      <c r="M63" t="s">
        <v>18</v>
      </c>
      <c r="N63" s="37">
        <f>(Table10_1[[#This Row],[Likes]]+Table10_1[[#This Row],[Shares]]+Table10_1[[#This Row],[Comments]])/Table10_1[[#This Row],[Impressions]]</f>
        <v>8.0862831858407078E-2</v>
      </c>
    </row>
    <row r="64" spans="1:14" x14ac:dyDescent="0.25">
      <c r="A64" t="s">
        <v>114</v>
      </c>
      <c r="B64" t="s">
        <v>30</v>
      </c>
      <c r="C64" s="17">
        <v>45762</v>
      </c>
      <c r="D64" t="s">
        <v>15</v>
      </c>
      <c r="E64" t="s">
        <v>64</v>
      </c>
      <c r="F64">
        <v>103</v>
      </c>
      <c r="G64">
        <v>770</v>
      </c>
      <c r="H64">
        <v>19</v>
      </c>
      <c r="I64">
        <v>1030</v>
      </c>
      <c r="J64">
        <v>410</v>
      </c>
      <c r="K64">
        <v>262</v>
      </c>
      <c r="L64" t="s">
        <v>27</v>
      </c>
      <c r="M64" t="s">
        <v>34</v>
      </c>
      <c r="N64" s="37">
        <f>(Table10_1[[#This Row],[Likes]]+Table10_1[[#This Row],[Shares]]+Table10_1[[#This Row],[Comments]])/Table10_1[[#This Row],[Impressions]]</f>
        <v>0.86601941747572819</v>
      </c>
    </row>
    <row r="65" spans="1:14" x14ac:dyDescent="0.25">
      <c r="A65" t="s">
        <v>115</v>
      </c>
      <c r="B65" t="s">
        <v>30</v>
      </c>
      <c r="C65" s="17">
        <v>45465</v>
      </c>
      <c r="D65" t="s">
        <v>20</v>
      </c>
      <c r="E65" t="s">
        <v>82</v>
      </c>
      <c r="F65">
        <v>2180</v>
      </c>
      <c r="G65">
        <v>263</v>
      </c>
      <c r="H65">
        <v>387</v>
      </c>
      <c r="I65">
        <v>30520</v>
      </c>
      <c r="J65">
        <v>30059</v>
      </c>
      <c r="K65">
        <v>174</v>
      </c>
      <c r="L65" t="s">
        <v>33</v>
      </c>
      <c r="N65" s="37">
        <f>(Table10_1[[#This Row],[Likes]]+Table10_1[[#This Row],[Shares]]+Table10_1[[#This Row],[Comments]])/Table10_1[[#This Row],[Impressions]]</f>
        <v>9.2726081258191345E-2</v>
      </c>
    </row>
    <row r="66" spans="1:14" x14ac:dyDescent="0.25">
      <c r="A66" t="s">
        <v>116</v>
      </c>
      <c r="B66" t="s">
        <v>30</v>
      </c>
      <c r="C66" s="17">
        <v>45685</v>
      </c>
      <c r="D66" t="s">
        <v>59</v>
      </c>
      <c r="E66" t="s">
        <v>66</v>
      </c>
      <c r="F66">
        <v>904</v>
      </c>
      <c r="G66">
        <v>973</v>
      </c>
      <c r="H66">
        <v>63</v>
      </c>
      <c r="I66">
        <v>11752</v>
      </c>
      <c r="J66">
        <v>11580</v>
      </c>
      <c r="K66">
        <v>84</v>
      </c>
      <c r="L66" t="s">
        <v>33</v>
      </c>
      <c r="M66" t="s">
        <v>28</v>
      </c>
      <c r="N66" s="37">
        <f>(Table10_1[[#This Row],[Likes]]+Table10_1[[#This Row],[Shares]]+Table10_1[[#This Row],[Comments]])/Table10_1[[#This Row],[Impressions]]</f>
        <v>0.1650782845473111</v>
      </c>
    </row>
    <row r="67" spans="1:14" x14ac:dyDescent="0.25">
      <c r="A67" t="s">
        <v>116</v>
      </c>
      <c r="B67" t="s">
        <v>30</v>
      </c>
      <c r="C67" s="17">
        <v>45685</v>
      </c>
      <c r="D67" t="s">
        <v>59</v>
      </c>
      <c r="E67" t="s">
        <v>66</v>
      </c>
      <c r="F67">
        <v>904</v>
      </c>
      <c r="G67">
        <v>973</v>
      </c>
      <c r="H67">
        <v>63</v>
      </c>
      <c r="I67">
        <v>11752</v>
      </c>
      <c r="J67">
        <v>11580</v>
      </c>
      <c r="K67">
        <v>84</v>
      </c>
      <c r="L67" t="s">
        <v>27</v>
      </c>
      <c r="M67" t="s">
        <v>28</v>
      </c>
      <c r="N67" s="37">
        <f>(Table10_1[[#This Row],[Likes]]+Table10_1[[#This Row],[Shares]]+Table10_1[[#This Row],[Comments]])/Table10_1[[#This Row],[Impressions]]</f>
        <v>0.1650782845473111</v>
      </c>
    </row>
    <row r="68" spans="1:14" x14ac:dyDescent="0.25">
      <c r="A68" t="s">
        <v>116</v>
      </c>
      <c r="B68" t="s">
        <v>30</v>
      </c>
      <c r="C68" s="17">
        <v>45685</v>
      </c>
      <c r="D68" t="s">
        <v>59</v>
      </c>
      <c r="E68" t="s">
        <v>66</v>
      </c>
      <c r="F68">
        <v>904</v>
      </c>
      <c r="G68">
        <v>973</v>
      </c>
      <c r="H68">
        <v>63</v>
      </c>
      <c r="I68">
        <v>11752</v>
      </c>
      <c r="J68">
        <v>11580</v>
      </c>
      <c r="K68">
        <v>84</v>
      </c>
      <c r="L68" t="s">
        <v>379</v>
      </c>
      <c r="M68" t="s">
        <v>28</v>
      </c>
      <c r="N68" s="37">
        <f>(Table10_1[[#This Row],[Likes]]+Table10_1[[#This Row],[Shares]]+Table10_1[[#This Row],[Comments]])/Table10_1[[#This Row],[Impressions]]</f>
        <v>0.1650782845473111</v>
      </c>
    </row>
    <row r="69" spans="1:14" x14ac:dyDescent="0.25">
      <c r="A69" t="s">
        <v>118</v>
      </c>
      <c r="B69" t="s">
        <v>14</v>
      </c>
      <c r="C69" s="17">
        <v>45540</v>
      </c>
      <c r="D69" t="s">
        <v>59</v>
      </c>
      <c r="E69" t="s">
        <v>99</v>
      </c>
      <c r="F69">
        <v>4886</v>
      </c>
      <c r="G69">
        <v>983</v>
      </c>
      <c r="H69">
        <v>409</v>
      </c>
      <c r="I69">
        <v>43974</v>
      </c>
      <c r="J69">
        <v>43239</v>
      </c>
      <c r="K69">
        <v>65</v>
      </c>
      <c r="L69" t="s">
        <v>27</v>
      </c>
      <c r="M69" t="s">
        <v>18</v>
      </c>
      <c r="N69" s="37">
        <f>(Table10_1[[#This Row],[Likes]]+Table10_1[[#This Row],[Shares]]+Table10_1[[#This Row],[Comments]])/Table10_1[[#This Row],[Impressions]]</f>
        <v>0.14276618001546368</v>
      </c>
    </row>
    <row r="70" spans="1:14" x14ac:dyDescent="0.25">
      <c r="A70" t="s">
        <v>119</v>
      </c>
      <c r="B70" t="s">
        <v>14</v>
      </c>
      <c r="C70" s="17">
        <v>45618</v>
      </c>
      <c r="D70" t="s">
        <v>39</v>
      </c>
      <c r="E70" t="s">
        <v>42</v>
      </c>
      <c r="F70">
        <v>53</v>
      </c>
      <c r="G70">
        <v>81</v>
      </c>
      <c r="H70">
        <v>379</v>
      </c>
      <c r="I70">
        <v>954</v>
      </c>
      <c r="J70">
        <v>7</v>
      </c>
      <c r="K70">
        <v>148</v>
      </c>
      <c r="L70" t="s">
        <v>27</v>
      </c>
      <c r="M70" t="s">
        <v>28</v>
      </c>
      <c r="N70" s="37">
        <f>(Table10_1[[#This Row],[Likes]]+Table10_1[[#This Row],[Shares]]+Table10_1[[#This Row],[Comments]])/Table10_1[[#This Row],[Impressions]]</f>
        <v>0.53773584905660377</v>
      </c>
    </row>
    <row r="71" spans="1:14" x14ac:dyDescent="0.25">
      <c r="A71" t="s">
        <v>120</v>
      </c>
      <c r="B71" t="s">
        <v>14</v>
      </c>
      <c r="C71" s="17">
        <v>45504</v>
      </c>
      <c r="D71" t="s">
        <v>39</v>
      </c>
      <c r="E71" t="s">
        <v>42</v>
      </c>
      <c r="F71">
        <v>4507</v>
      </c>
      <c r="G71">
        <v>217</v>
      </c>
      <c r="H71">
        <v>13</v>
      </c>
      <c r="I71">
        <v>90140</v>
      </c>
      <c r="J71">
        <v>89591</v>
      </c>
      <c r="K71">
        <v>125</v>
      </c>
      <c r="L71" t="s">
        <v>51</v>
      </c>
      <c r="M71" t="s">
        <v>28</v>
      </c>
      <c r="N71" s="37">
        <f>(Table10_1[[#This Row],[Likes]]+Table10_1[[#This Row],[Shares]]+Table10_1[[#This Row],[Comments]])/Table10_1[[#This Row],[Impressions]]</f>
        <v>5.2551586421122697E-2</v>
      </c>
    </row>
    <row r="72" spans="1:14" x14ac:dyDescent="0.25">
      <c r="A72" t="s">
        <v>121</v>
      </c>
      <c r="B72" t="s">
        <v>38</v>
      </c>
      <c r="C72" s="17">
        <v>45521</v>
      </c>
      <c r="D72" t="s">
        <v>44</v>
      </c>
      <c r="E72" t="s">
        <v>49</v>
      </c>
      <c r="F72">
        <v>2878</v>
      </c>
      <c r="G72">
        <v>248</v>
      </c>
      <c r="H72">
        <v>416</v>
      </c>
      <c r="I72">
        <v>43170</v>
      </c>
      <c r="J72">
        <v>42667</v>
      </c>
      <c r="K72">
        <v>75</v>
      </c>
      <c r="L72" t="s">
        <v>51</v>
      </c>
      <c r="M72" t="s">
        <v>28</v>
      </c>
      <c r="N72" s="37">
        <f>(Table10_1[[#This Row],[Likes]]+Table10_1[[#This Row],[Shares]]+Table10_1[[#This Row],[Comments]])/Table10_1[[#This Row],[Impressions]]</f>
        <v>8.2047718322909427E-2</v>
      </c>
    </row>
    <row r="73" spans="1:14" x14ac:dyDescent="0.25">
      <c r="A73" t="s">
        <v>122</v>
      </c>
      <c r="B73" t="s">
        <v>30</v>
      </c>
      <c r="C73" s="17">
        <v>45744</v>
      </c>
      <c r="D73" t="s">
        <v>31</v>
      </c>
      <c r="E73" t="s">
        <v>32</v>
      </c>
      <c r="F73">
        <v>1881</v>
      </c>
      <c r="G73">
        <v>501</v>
      </c>
      <c r="H73">
        <v>99</v>
      </c>
      <c r="I73">
        <v>20691</v>
      </c>
      <c r="J73">
        <v>19987</v>
      </c>
      <c r="K73">
        <v>289</v>
      </c>
      <c r="L73" t="s">
        <v>33</v>
      </c>
      <c r="N73" s="37">
        <f>(Table10_1[[#This Row],[Likes]]+Table10_1[[#This Row],[Shares]]+Table10_1[[#This Row],[Comments]])/Table10_1[[#This Row],[Impressions]]</f>
        <v>0.11990720603160794</v>
      </c>
    </row>
    <row r="74" spans="1:14" x14ac:dyDescent="0.25">
      <c r="A74" t="s">
        <v>123</v>
      </c>
      <c r="B74" t="s">
        <v>14</v>
      </c>
      <c r="C74" s="17">
        <v>45499</v>
      </c>
      <c r="D74" t="s">
        <v>39</v>
      </c>
      <c r="E74" t="s">
        <v>42</v>
      </c>
      <c r="F74">
        <v>432</v>
      </c>
      <c r="G74">
        <v>171</v>
      </c>
      <c r="H74">
        <v>280</v>
      </c>
      <c r="I74">
        <v>3024</v>
      </c>
      <c r="J74">
        <v>2285</v>
      </c>
      <c r="K74">
        <v>184</v>
      </c>
      <c r="L74" t="s">
        <v>33</v>
      </c>
      <c r="M74" t="s">
        <v>18</v>
      </c>
      <c r="N74" s="37">
        <f>(Table10_1[[#This Row],[Likes]]+Table10_1[[#This Row],[Shares]]+Table10_1[[#This Row],[Comments]])/Table10_1[[#This Row],[Impressions]]</f>
        <v>0.29199735449735448</v>
      </c>
    </row>
    <row r="75" spans="1:14" x14ac:dyDescent="0.25">
      <c r="A75" t="s">
        <v>124</v>
      </c>
      <c r="B75" t="s">
        <v>38</v>
      </c>
      <c r="C75" s="17">
        <v>45745</v>
      </c>
      <c r="D75" t="s">
        <v>39</v>
      </c>
      <c r="E75" t="s">
        <v>40</v>
      </c>
      <c r="F75">
        <v>4712</v>
      </c>
      <c r="G75">
        <v>568</v>
      </c>
      <c r="H75">
        <v>127</v>
      </c>
      <c r="I75">
        <v>84816</v>
      </c>
      <c r="J75">
        <v>84691</v>
      </c>
      <c r="K75">
        <v>100</v>
      </c>
      <c r="L75" t="s">
        <v>33</v>
      </c>
      <c r="M75" t="s">
        <v>28</v>
      </c>
      <c r="N75" s="37">
        <f>(Table10_1[[#This Row],[Likes]]+Table10_1[[#This Row],[Shares]]+Table10_1[[#This Row],[Comments]])/Table10_1[[#This Row],[Impressions]]</f>
        <v>6.3749764195434822E-2</v>
      </c>
    </row>
    <row r="76" spans="1:14" x14ac:dyDescent="0.25">
      <c r="A76" t="s">
        <v>125</v>
      </c>
      <c r="B76" t="s">
        <v>30</v>
      </c>
      <c r="C76" s="17">
        <v>45634</v>
      </c>
      <c r="D76" t="s">
        <v>31</v>
      </c>
      <c r="E76" t="s">
        <v>32</v>
      </c>
      <c r="F76">
        <v>2610</v>
      </c>
      <c r="G76">
        <v>126</v>
      </c>
      <c r="H76">
        <v>288</v>
      </c>
      <c r="I76">
        <v>15660</v>
      </c>
      <c r="J76">
        <v>15145</v>
      </c>
      <c r="K76">
        <v>73</v>
      </c>
      <c r="L76" t="s">
        <v>33</v>
      </c>
      <c r="N76" s="37">
        <f>(Table10_1[[#This Row],[Likes]]+Table10_1[[#This Row],[Shares]]+Table10_1[[#This Row],[Comments]])/Table10_1[[#This Row],[Impressions]]</f>
        <v>0.19310344827586207</v>
      </c>
    </row>
    <row r="77" spans="1:14" x14ac:dyDescent="0.25">
      <c r="A77" t="s">
        <v>126</v>
      </c>
      <c r="B77" t="s">
        <v>14</v>
      </c>
      <c r="C77" s="17">
        <v>45724</v>
      </c>
      <c r="D77" t="s">
        <v>20</v>
      </c>
      <c r="E77" t="s">
        <v>21</v>
      </c>
      <c r="F77">
        <v>1292</v>
      </c>
      <c r="G77">
        <v>626</v>
      </c>
      <c r="H77">
        <v>496</v>
      </c>
      <c r="I77">
        <v>25840</v>
      </c>
      <c r="J77">
        <v>24916</v>
      </c>
      <c r="K77">
        <v>149</v>
      </c>
      <c r="L77" t="s">
        <v>51</v>
      </c>
      <c r="M77" t="s">
        <v>28</v>
      </c>
      <c r="N77" s="37">
        <f>(Table10_1[[#This Row],[Likes]]+Table10_1[[#This Row],[Shares]]+Table10_1[[#This Row],[Comments]])/Table10_1[[#This Row],[Impressions]]</f>
        <v>9.3421052631578946E-2</v>
      </c>
    </row>
    <row r="78" spans="1:14" x14ac:dyDescent="0.25">
      <c r="A78" t="s">
        <v>127</v>
      </c>
      <c r="B78" t="s">
        <v>38</v>
      </c>
      <c r="C78" s="17">
        <v>45749</v>
      </c>
      <c r="D78" t="s">
        <v>59</v>
      </c>
      <c r="E78" t="s">
        <v>60</v>
      </c>
      <c r="F78">
        <v>199</v>
      </c>
      <c r="G78">
        <v>772</v>
      </c>
      <c r="H78">
        <v>400</v>
      </c>
      <c r="I78">
        <v>3582</v>
      </c>
      <c r="J78">
        <v>2988</v>
      </c>
      <c r="K78">
        <v>43</v>
      </c>
      <c r="L78" t="s">
        <v>27</v>
      </c>
      <c r="N78" s="37">
        <f>(Table10_1[[#This Row],[Likes]]+Table10_1[[#This Row],[Shares]]+Table10_1[[#This Row],[Comments]])/Table10_1[[#This Row],[Impressions]]</f>
        <v>0.38274706867671693</v>
      </c>
    </row>
    <row r="79" spans="1:14" x14ac:dyDescent="0.25">
      <c r="A79" t="s">
        <v>128</v>
      </c>
      <c r="B79" t="s">
        <v>25</v>
      </c>
      <c r="C79" s="17">
        <v>45537</v>
      </c>
      <c r="D79" t="s">
        <v>39</v>
      </c>
      <c r="E79" t="s">
        <v>55</v>
      </c>
      <c r="F79">
        <v>2551</v>
      </c>
      <c r="G79">
        <v>915</v>
      </c>
      <c r="H79">
        <v>205</v>
      </c>
      <c r="I79">
        <v>30612</v>
      </c>
      <c r="J79">
        <v>30360</v>
      </c>
      <c r="K79">
        <v>227</v>
      </c>
      <c r="L79" t="s">
        <v>27</v>
      </c>
      <c r="M79" t="s">
        <v>23</v>
      </c>
      <c r="N79" s="37">
        <f>(Table10_1[[#This Row],[Likes]]+Table10_1[[#This Row],[Shares]]+Table10_1[[#This Row],[Comments]])/Table10_1[[#This Row],[Impressions]]</f>
        <v>0.1199202926956749</v>
      </c>
    </row>
    <row r="80" spans="1:14" x14ac:dyDescent="0.25">
      <c r="A80" t="s">
        <v>129</v>
      </c>
      <c r="B80" t="s">
        <v>25</v>
      </c>
      <c r="C80" s="17">
        <v>45719</v>
      </c>
      <c r="D80" t="s">
        <v>15</v>
      </c>
      <c r="E80" t="s">
        <v>26</v>
      </c>
      <c r="F80">
        <v>296</v>
      </c>
      <c r="G80">
        <v>60</v>
      </c>
      <c r="H80">
        <v>141</v>
      </c>
      <c r="I80">
        <v>5624</v>
      </c>
      <c r="J80">
        <v>5239</v>
      </c>
      <c r="K80">
        <v>88</v>
      </c>
      <c r="L80" t="s">
        <v>33</v>
      </c>
      <c r="M80" t="s">
        <v>23</v>
      </c>
      <c r="N80" s="37">
        <f>(Table10_1[[#This Row],[Likes]]+Table10_1[[#This Row],[Shares]]+Table10_1[[#This Row],[Comments]])/Table10_1[[#This Row],[Impressions]]</f>
        <v>8.837126600284495E-2</v>
      </c>
    </row>
    <row r="81" spans="1:14" x14ac:dyDescent="0.25">
      <c r="A81" t="s">
        <v>130</v>
      </c>
      <c r="B81" t="s">
        <v>38</v>
      </c>
      <c r="C81" s="17">
        <v>45583</v>
      </c>
      <c r="D81" t="s">
        <v>31</v>
      </c>
      <c r="E81" t="s">
        <v>57</v>
      </c>
      <c r="F81">
        <v>4126</v>
      </c>
      <c r="G81">
        <v>426</v>
      </c>
      <c r="H81">
        <v>486</v>
      </c>
      <c r="I81">
        <v>78394</v>
      </c>
      <c r="J81">
        <v>77798</v>
      </c>
      <c r="K81">
        <v>88</v>
      </c>
      <c r="L81" t="s">
        <v>51</v>
      </c>
      <c r="M81" t="s">
        <v>34</v>
      </c>
      <c r="N81" s="37">
        <f>(Table10_1[[#This Row],[Likes]]+Table10_1[[#This Row],[Shares]]+Table10_1[[#This Row],[Comments]])/Table10_1[[#This Row],[Impressions]]</f>
        <v>6.4265122330790625E-2</v>
      </c>
    </row>
    <row r="82" spans="1:14" x14ac:dyDescent="0.25">
      <c r="A82" t="s">
        <v>131</v>
      </c>
      <c r="B82" t="s">
        <v>25</v>
      </c>
      <c r="C82" s="17">
        <v>45593</v>
      </c>
      <c r="D82" t="s">
        <v>15</v>
      </c>
      <c r="E82" t="s">
        <v>26</v>
      </c>
      <c r="F82">
        <v>1855</v>
      </c>
      <c r="G82">
        <v>200</v>
      </c>
      <c r="H82">
        <v>174</v>
      </c>
      <c r="I82">
        <v>16695</v>
      </c>
      <c r="J82">
        <v>16330</v>
      </c>
      <c r="K82">
        <v>123</v>
      </c>
      <c r="L82" t="s">
        <v>27</v>
      </c>
      <c r="M82" t="s">
        <v>28</v>
      </c>
      <c r="N82" s="37">
        <f>(Table10_1[[#This Row],[Likes]]+Table10_1[[#This Row],[Shares]]+Table10_1[[#This Row],[Comments]])/Table10_1[[#This Row],[Impressions]]</f>
        <v>0.13351302785265048</v>
      </c>
    </row>
    <row r="83" spans="1:14" x14ac:dyDescent="0.25">
      <c r="A83" t="s">
        <v>132</v>
      </c>
      <c r="B83" t="s">
        <v>30</v>
      </c>
      <c r="C83" s="17">
        <v>45505</v>
      </c>
      <c r="D83" t="s">
        <v>15</v>
      </c>
      <c r="E83" t="s">
        <v>64</v>
      </c>
      <c r="F83">
        <v>1674</v>
      </c>
      <c r="G83">
        <v>929</v>
      </c>
      <c r="H83">
        <v>37</v>
      </c>
      <c r="I83">
        <v>21762</v>
      </c>
      <c r="J83">
        <v>20998</v>
      </c>
      <c r="K83">
        <v>255</v>
      </c>
      <c r="L83" t="s">
        <v>27</v>
      </c>
      <c r="M83" t="s">
        <v>34</v>
      </c>
      <c r="N83" s="37">
        <f>(Table10_1[[#This Row],[Likes]]+Table10_1[[#This Row],[Shares]]+Table10_1[[#This Row],[Comments]])/Table10_1[[#This Row],[Impressions]]</f>
        <v>0.12131237937689551</v>
      </c>
    </row>
    <row r="84" spans="1:14" x14ac:dyDescent="0.25">
      <c r="A84" t="s">
        <v>133</v>
      </c>
      <c r="B84" t="s">
        <v>14</v>
      </c>
      <c r="C84" s="17">
        <v>45603</v>
      </c>
      <c r="D84" t="s">
        <v>31</v>
      </c>
      <c r="E84" t="s">
        <v>102</v>
      </c>
      <c r="F84">
        <v>1121</v>
      </c>
      <c r="G84">
        <v>135</v>
      </c>
      <c r="H84">
        <v>18</v>
      </c>
      <c r="I84">
        <v>15694</v>
      </c>
      <c r="J84">
        <v>14957</v>
      </c>
      <c r="K84">
        <v>99</v>
      </c>
      <c r="L84" t="s">
        <v>27</v>
      </c>
      <c r="M84" t="s">
        <v>34</v>
      </c>
      <c r="N84" s="37">
        <f>(Table10_1[[#This Row],[Likes]]+Table10_1[[#This Row],[Shares]]+Table10_1[[#This Row],[Comments]])/Table10_1[[#This Row],[Impressions]]</f>
        <v>8.1177520071364848E-2</v>
      </c>
    </row>
    <row r="85" spans="1:14" x14ac:dyDescent="0.25">
      <c r="A85" t="s">
        <v>134</v>
      </c>
      <c r="B85" t="s">
        <v>38</v>
      </c>
      <c r="C85" s="17">
        <v>45720</v>
      </c>
      <c r="D85" t="s">
        <v>31</v>
      </c>
      <c r="E85" t="s">
        <v>57</v>
      </c>
      <c r="F85">
        <v>1249</v>
      </c>
      <c r="G85">
        <v>116</v>
      </c>
      <c r="H85">
        <v>420</v>
      </c>
      <c r="I85">
        <v>8743</v>
      </c>
      <c r="J85">
        <v>8538</v>
      </c>
      <c r="K85">
        <v>63</v>
      </c>
      <c r="L85" t="s">
        <v>27</v>
      </c>
      <c r="N85" s="37">
        <f>(Table10_1[[#This Row],[Likes]]+Table10_1[[#This Row],[Shares]]+Table10_1[[#This Row],[Comments]])/Table10_1[[#This Row],[Impressions]]</f>
        <v>0.20416333066453163</v>
      </c>
    </row>
    <row r="86" spans="1:14" x14ac:dyDescent="0.25">
      <c r="A86" t="s">
        <v>135</v>
      </c>
      <c r="B86" t="s">
        <v>14</v>
      </c>
      <c r="C86" s="17">
        <v>45460</v>
      </c>
      <c r="D86" t="s">
        <v>44</v>
      </c>
      <c r="E86" t="s">
        <v>92</v>
      </c>
      <c r="F86">
        <v>954</v>
      </c>
      <c r="G86">
        <v>324</v>
      </c>
      <c r="H86">
        <v>288</v>
      </c>
      <c r="I86">
        <v>19080</v>
      </c>
      <c r="J86">
        <v>18859</v>
      </c>
      <c r="K86">
        <v>21</v>
      </c>
      <c r="L86" t="s">
        <v>51</v>
      </c>
      <c r="M86" t="s">
        <v>34</v>
      </c>
      <c r="N86" s="37">
        <f>(Table10_1[[#This Row],[Likes]]+Table10_1[[#This Row],[Shares]]+Table10_1[[#This Row],[Comments]])/Table10_1[[#This Row],[Impressions]]</f>
        <v>8.2075471698113203E-2</v>
      </c>
    </row>
    <row r="87" spans="1:14" x14ac:dyDescent="0.25">
      <c r="A87" t="s">
        <v>136</v>
      </c>
      <c r="B87" t="s">
        <v>30</v>
      </c>
      <c r="C87" s="17">
        <v>45574</v>
      </c>
      <c r="D87" t="s">
        <v>39</v>
      </c>
      <c r="E87" t="s">
        <v>68</v>
      </c>
      <c r="F87">
        <v>3068</v>
      </c>
      <c r="G87">
        <v>137</v>
      </c>
      <c r="H87">
        <v>329</v>
      </c>
      <c r="I87">
        <v>39884</v>
      </c>
      <c r="J87">
        <v>39404</v>
      </c>
      <c r="K87">
        <v>266</v>
      </c>
      <c r="L87" t="s">
        <v>33</v>
      </c>
      <c r="M87" t="s">
        <v>23</v>
      </c>
      <c r="N87" s="37">
        <f>(Table10_1[[#This Row],[Likes]]+Table10_1[[#This Row],[Shares]]+Table10_1[[#This Row],[Comments]])/Table10_1[[#This Row],[Impressions]]</f>
        <v>8.860696018453515E-2</v>
      </c>
    </row>
    <row r="88" spans="1:14" x14ac:dyDescent="0.25">
      <c r="A88" t="s">
        <v>137</v>
      </c>
      <c r="B88" t="s">
        <v>30</v>
      </c>
      <c r="C88" s="17">
        <v>45456</v>
      </c>
      <c r="D88" t="s">
        <v>31</v>
      </c>
      <c r="E88" t="s">
        <v>32</v>
      </c>
      <c r="F88">
        <v>2103</v>
      </c>
      <c r="G88">
        <v>892</v>
      </c>
      <c r="H88">
        <v>103</v>
      </c>
      <c r="I88">
        <v>39957</v>
      </c>
      <c r="J88">
        <v>39466</v>
      </c>
      <c r="K88">
        <v>28</v>
      </c>
      <c r="L88" t="s">
        <v>51</v>
      </c>
      <c r="N88" s="37">
        <f>(Table10_1[[#This Row],[Likes]]+Table10_1[[#This Row],[Shares]]+Table10_1[[#This Row],[Comments]])/Table10_1[[#This Row],[Impressions]]</f>
        <v>7.7533348349475686E-2</v>
      </c>
    </row>
    <row r="89" spans="1:14" x14ac:dyDescent="0.25">
      <c r="A89" t="s">
        <v>138</v>
      </c>
      <c r="B89" t="s">
        <v>30</v>
      </c>
      <c r="C89" s="17">
        <v>45584</v>
      </c>
      <c r="D89" t="s">
        <v>31</v>
      </c>
      <c r="E89" t="s">
        <v>32</v>
      </c>
      <c r="F89">
        <v>1816</v>
      </c>
      <c r="G89">
        <v>29</v>
      </c>
      <c r="H89">
        <v>41</v>
      </c>
      <c r="I89">
        <v>19976</v>
      </c>
      <c r="J89">
        <v>19262</v>
      </c>
      <c r="K89">
        <v>283</v>
      </c>
      <c r="L89" t="s">
        <v>27</v>
      </c>
      <c r="M89" t="s">
        <v>28</v>
      </c>
      <c r="N89" s="37">
        <f>(Table10_1[[#This Row],[Likes]]+Table10_1[[#This Row],[Shares]]+Table10_1[[#This Row],[Comments]])/Table10_1[[#This Row],[Impressions]]</f>
        <v>9.4413295955146179E-2</v>
      </c>
    </row>
    <row r="90" spans="1:14" x14ac:dyDescent="0.25">
      <c r="A90" t="s">
        <v>139</v>
      </c>
      <c r="B90" t="s">
        <v>30</v>
      </c>
      <c r="C90" s="17">
        <v>45497</v>
      </c>
      <c r="D90" t="s">
        <v>44</v>
      </c>
      <c r="E90" t="s">
        <v>140</v>
      </c>
      <c r="F90">
        <v>725</v>
      </c>
      <c r="G90">
        <v>88</v>
      </c>
      <c r="H90">
        <v>428</v>
      </c>
      <c r="I90">
        <v>14500</v>
      </c>
      <c r="J90">
        <v>13637</v>
      </c>
      <c r="K90">
        <v>200</v>
      </c>
      <c r="L90" t="s">
        <v>51</v>
      </c>
      <c r="M90" t="s">
        <v>28</v>
      </c>
      <c r="N90" s="37">
        <f>(Table10_1[[#This Row],[Likes]]+Table10_1[[#This Row],[Shares]]+Table10_1[[#This Row],[Comments]])/Table10_1[[#This Row],[Impressions]]</f>
        <v>8.558620689655172E-2</v>
      </c>
    </row>
    <row r="91" spans="1:14" x14ac:dyDescent="0.25">
      <c r="A91" t="s">
        <v>139</v>
      </c>
      <c r="B91" t="s">
        <v>30</v>
      </c>
      <c r="C91" s="17">
        <v>45497</v>
      </c>
      <c r="D91" t="s">
        <v>44</v>
      </c>
      <c r="E91" t="s">
        <v>140</v>
      </c>
      <c r="F91">
        <v>725</v>
      </c>
      <c r="G91">
        <v>88</v>
      </c>
      <c r="H91">
        <v>428</v>
      </c>
      <c r="I91">
        <v>14500</v>
      </c>
      <c r="J91">
        <v>13637</v>
      </c>
      <c r="K91">
        <v>200</v>
      </c>
      <c r="L91" t="s">
        <v>27</v>
      </c>
      <c r="M91" t="s">
        <v>28</v>
      </c>
      <c r="N91" s="37">
        <f>(Table10_1[[#This Row],[Likes]]+Table10_1[[#This Row],[Shares]]+Table10_1[[#This Row],[Comments]])/Table10_1[[#This Row],[Impressions]]</f>
        <v>8.558620689655172E-2</v>
      </c>
    </row>
    <row r="92" spans="1:14" x14ac:dyDescent="0.25">
      <c r="A92" t="s">
        <v>139</v>
      </c>
      <c r="B92" t="s">
        <v>30</v>
      </c>
      <c r="C92" s="17">
        <v>45497</v>
      </c>
      <c r="D92" t="s">
        <v>44</v>
      </c>
      <c r="E92" t="s">
        <v>140</v>
      </c>
      <c r="F92">
        <v>725</v>
      </c>
      <c r="G92">
        <v>88</v>
      </c>
      <c r="H92">
        <v>428</v>
      </c>
      <c r="I92">
        <v>14500</v>
      </c>
      <c r="J92">
        <v>13637</v>
      </c>
      <c r="K92">
        <v>200</v>
      </c>
      <c r="L92" t="s">
        <v>379</v>
      </c>
      <c r="M92" t="s">
        <v>28</v>
      </c>
      <c r="N92" s="37">
        <f>(Table10_1[[#This Row],[Likes]]+Table10_1[[#This Row],[Shares]]+Table10_1[[#This Row],[Comments]])/Table10_1[[#This Row],[Impressions]]</f>
        <v>8.558620689655172E-2</v>
      </c>
    </row>
    <row r="93" spans="1:14" x14ac:dyDescent="0.25">
      <c r="A93" t="s">
        <v>142</v>
      </c>
      <c r="B93" t="s">
        <v>25</v>
      </c>
      <c r="C93" s="17">
        <v>45580</v>
      </c>
      <c r="D93" t="s">
        <v>59</v>
      </c>
      <c r="E93" t="s">
        <v>143</v>
      </c>
      <c r="F93">
        <v>1094</v>
      </c>
      <c r="G93">
        <v>472</v>
      </c>
      <c r="H93">
        <v>21</v>
      </c>
      <c r="I93">
        <v>9846</v>
      </c>
      <c r="J93">
        <v>9609</v>
      </c>
      <c r="K93">
        <v>112</v>
      </c>
      <c r="L93" t="s">
        <v>33</v>
      </c>
      <c r="N93" s="37">
        <f>(Table10_1[[#This Row],[Likes]]+Table10_1[[#This Row],[Shares]]+Table10_1[[#This Row],[Comments]])/Table10_1[[#This Row],[Impressions]]</f>
        <v>0.16118220597196831</v>
      </c>
    </row>
    <row r="94" spans="1:14" x14ac:dyDescent="0.25">
      <c r="A94" t="s">
        <v>144</v>
      </c>
      <c r="B94" t="s">
        <v>38</v>
      </c>
      <c r="C94" s="17">
        <v>45635</v>
      </c>
      <c r="D94" t="s">
        <v>44</v>
      </c>
      <c r="E94" t="s">
        <v>49</v>
      </c>
      <c r="F94">
        <v>1841</v>
      </c>
      <c r="G94">
        <v>851</v>
      </c>
      <c r="H94">
        <v>342</v>
      </c>
      <c r="I94">
        <v>34979</v>
      </c>
      <c r="J94">
        <v>34154</v>
      </c>
      <c r="K94">
        <v>255</v>
      </c>
      <c r="L94" t="s">
        <v>51</v>
      </c>
      <c r="M94" t="s">
        <v>34</v>
      </c>
      <c r="N94" s="37">
        <f>(Table10_1[[#This Row],[Likes]]+Table10_1[[#This Row],[Shares]]+Table10_1[[#This Row],[Comments]])/Table10_1[[#This Row],[Impressions]]</f>
        <v>8.6737756939878216E-2</v>
      </c>
    </row>
    <row r="95" spans="1:14" x14ac:dyDescent="0.25">
      <c r="A95" t="s">
        <v>145</v>
      </c>
      <c r="B95" t="s">
        <v>30</v>
      </c>
      <c r="C95" s="17">
        <v>45766</v>
      </c>
      <c r="D95" t="s">
        <v>44</v>
      </c>
      <c r="E95" t="s">
        <v>140</v>
      </c>
      <c r="F95">
        <v>4177</v>
      </c>
      <c r="G95">
        <v>569</v>
      </c>
      <c r="H95">
        <v>55</v>
      </c>
      <c r="I95">
        <v>25062</v>
      </c>
      <c r="J95">
        <v>24847</v>
      </c>
      <c r="K95">
        <v>230</v>
      </c>
      <c r="L95" t="s">
        <v>51</v>
      </c>
      <c r="M95" t="s">
        <v>18</v>
      </c>
      <c r="N95" s="37">
        <f>(Table10_1[[#This Row],[Likes]]+Table10_1[[#This Row],[Shares]]+Table10_1[[#This Row],[Comments]])/Table10_1[[#This Row],[Impressions]]</f>
        <v>0.19156491900087783</v>
      </c>
    </row>
    <row r="96" spans="1:14" x14ac:dyDescent="0.25">
      <c r="A96" t="s">
        <v>146</v>
      </c>
      <c r="B96" t="s">
        <v>25</v>
      </c>
      <c r="C96" s="17">
        <v>45684</v>
      </c>
      <c r="D96" t="s">
        <v>20</v>
      </c>
      <c r="E96" t="s">
        <v>77</v>
      </c>
      <c r="F96">
        <v>3428</v>
      </c>
      <c r="G96">
        <v>305</v>
      </c>
      <c r="H96">
        <v>85</v>
      </c>
      <c r="I96">
        <v>58276</v>
      </c>
      <c r="J96">
        <v>58052</v>
      </c>
      <c r="K96">
        <v>242</v>
      </c>
      <c r="L96" t="s">
        <v>33</v>
      </c>
      <c r="M96" t="s">
        <v>34</v>
      </c>
      <c r="N96" s="37">
        <f>(Table10_1[[#This Row],[Likes]]+Table10_1[[#This Row],[Shares]]+Table10_1[[#This Row],[Comments]])/Table10_1[[#This Row],[Impressions]]</f>
        <v>6.5515821264328367E-2</v>
      </c>
    </row>
    <row r="97" spans="1:14" x14ac:dyDescent="0.25">
      <c r="A97" t="s">
        <v>146</v>
      </c>
      <c r="B97" t="s">
        <v>25</v>
      </c>
      <c r="C97" s="17">
        <v>45684</v>
      </c>
      <c r="D97" t="s">
        <v>20</v>
      </c>
      <c r="E97" t="s">
        <v>77</v>
      </c>
      <c r="F97">
        <v>3428</v>
      </c>
      <c r="G97">
        <v>305</v>
      </c>
      <c r="H97">
        <v>85</v>
      </c>
      <c r="I97">
        <v>58276</v>
      </c>
      <c r="J97">
        <v>58052</v>
      </c>
      <c r="K97">
        <v>242</v>
      </c>
      <c r="L97" t="s">
        <v>380</v>
      </c>
      <c r="M97" t="s">
        <v>34</v>
      </c>
      <c r="N97" s="37">
        <f>(Table10_1[[#This Row],[Likes]]+Table10_1[[#This Row],[Shares]]+Table10_1[[#This Row],[Comments]])/Table10_1[[#This Row],[Impressions]]</f>
        <v>6.5515821264328367E-2</v>
      </c>
    </row>
    <row r="98" spans="1:14" x14ac:dyDescent="0.25">
      <c r="A98" t="s">
        <v>147</v>
      </c>
      <c r="B98" t="s">
        <v>14</v>
      </c>
      <c r="C98" s="17">
        <v>45449</v>
      </c>
      <c r="D98" t="s">
        <v>59</v>
      </c>
      <c r="E98" t="s">
        <v>99</v>
      </c>
      <c r="F98">
        <v>1436</v>
      </c>
      <c r="G98">
        <v>765</v>
      </c>
      <c r="H98">
        <v>496</v>
      </c>
      <c r="I98">
        <v>12924</v>
      </c>
      <c r="J98">
        <v>12701</v>
      </c>
      <c r="K98">
        <v>197</v>
      </c>
      <c r="L98" t="s">
        <v>51</v>
      </c>
      <c r="M98" t="s">
        <v>28</v>
      </c>
      <c r="N98" s="37">
        <f>(Table10_1[[#This Row],[Likes]]+Table10_1[[#This Row],[Shares]]+Table10_1[[#This Row],[Comments]])/Table10_1[[#This Row],[Impressions]]</f>
        <v>0.20868152274837512</v>
      </c>
    </row>
    <row r="99" spans="1:14" x14ac:dyDescent="0.25">
      <c r="A99" t="s">
        <v>148</v>
      </c>
      <c r="B99" t="s">
        <v>38</v>
      </c>
      <c r="C99" s="17">
        <v>45480</v>
      </c>
      <c r="D99" t="s">
        <v>31</v>
      </c>
      <c r="E99" t="s">
        <v>57</v>
      </c>
      <c r="F99">
        <v>302</v>
      </c>
      <c r="G99">
        <v>47</v>
      </c>
      <c r="H99">
        <v>430</v>
      </c>
      <c r="I99">
        <v>5738</v>
      </c>
      <c r="J99">
        <v>4890</v>
      </c>
      <c r="K99">
        <v>25</v>
      </c>
      <c r="L99" t="s">
        <v>27</v>
      </c>
      <c r="M99" t="s">
        <v>34</v>
      </c>
      <c r="N99" s="37">
        <f>(Table10_1[[#This Row],[Likes]]+Table10_1[[#This Row],[Shares]]+Table10_1[[#This Row],[Comments]])/Table10_1[[#This Row],[Impressions]]</f>
        <v>0.13576158940397351</v>
      </c>
    </row>
    <row r="100" spans="1:14" x14ac:dyDescent="0.25">
      <c r="A100" t="s">
        <v>149</v>
      </c>
      <c r="B100" t="s">
        <v>14</v>
      </c>
      <c r="C100" s="17">
        <v>45667</v>
      </c>
      <c r="D100" t="s">
        <v>44</v>
      </c>
      <c r="E100" t="s">
        <v>92</v>
      </c>
      <c r="F100">
        <v>2214</v>
      </c>
      <c r="G100">
        <v>249</v>
      </c>
      <c r="H100">
        <v>152</v>
      </c>
      <c r="I100">
        <v>15498</v>
      </c>
      <c r="J100">
        <v>14800</v>
      </c>
      <c r="K100">
        <v>180</v>
      </c>
      <c r="L100" t="s">
        <v>33</v>
      </c>
      <c r="N100" s="37">
        <f>(Table10_1[[#This Row],[Likes]]+Table10_1[[#This Row],[Shares]]+Table10_1[[#This Row],[Comments]])/Table10_1[[#This Row],[Impressions]]</f>
        <v>0.16873144921925409</v>
      </c>
    </row>
    <row r="101" spans="1:14" x14ac:dyDescent="0.25">
      <c r="A101" t="s">
        <v>150</v>
      </c>
      <c r="B101" t="s">
        <v>30</v>
      </c>
      <c r="C101" s="17">
        <v>45446</v>
      </c>
      <c r="D101" t="s">
        <v>44</v>
      </c>
      <c r="E101" t="s">
        <v>140</v>
      </c>
      <c r="F101">
        <v>3861</v>
      </c>
      <c r="G101">
        <v>960</v>
      </c>
      <c r="H101">
        <v>101</v>
      </c>
      <c r="I101">
        <v>69498</v>
      </c>
      <c r="J101">
        <v>68817</v>
      </c>
      <c r="K101">
        <v>297</v>
      </c>
      <c r="L101" t="s">
        <v>27</v>
      </c>
      <c r="M101" t="s">
        <v>34</v>
      </c>
      <c r="N101" s="37">
        <f>(Table10_1[[#This Row],[Likes]]+Table10_1[[#This Row],[Shares]]+Table10_1[[#This Row],[Comments]])/Table10_1[[#This Row],[Impressions]]</f>
        <v>7.0822181933293038E-2</v>
      </c>
    </row>
    <row r="102" spans="1:14" x14ac:dyDescent="0.25">
      <c r="A102" t="s">
        <v>151</v>
      </c>
      <c r="B102" t="s">
        <v>38</v>
      </c>
      <c r="C102" s="17">
        <v>45740</v>
      </c>
      <c r="D102" t="s">
        <v>44</v>
      </c>
      <c r="E102" t="s">
        <v>49</v>
      </c>
      <c r="F102">
        <v>1263</v>
      </c>
      <c r="G102">
        <v>397</v>
      </c>
      <c r="H102">
        <v>357</v>
      </c>
      <c r="I102">
        <v>25260</v>
      </c>
      <c r="J102">
        <v>24615</v>
      </c>
      <c r="K102">
        <v>137</v>
      </c>
      <c r="L102" t="s">
        <v>33</v>
      </c>
      <c r="M102" t="s">
        <v>34</v>
      </c>
      <c r="N102" s="37">
        <f>(Table10_1[[#This Row],[Likes]]+Table10_1[[#This Row],[Shares]]+Table10_1[[#This Row],[Comments]])/Table10_1[[#This Row],[Impressions]]</f>
        <v>7.984956452889945E-2</v>
      </c>
    </row>
    <row r="103" spans="1:14" x14ac:dyDescent="0.25">
      <c r="A103" t="s">
        <v>152</v>
      </c>
      <c r="B103" t="s">
        <v>14</v>
      </c>
      <c r="C103" s="17">
        <v>45586</v>
      </c>
      <c r="D103" t="s">
        <v>31</v>
      </c>
      <c r="E103" t="s">
        <v>102</v>
      </c>
      <c r="F103">
        <v>3801</v>
      </c>
      <c r="G103">
        <v>967</v>
      </c>
      <c r="H103">
        <v>401</v>
      </c>
      <c r="I103">
        <v>38010</v>
      </c>
      <c r="J103">
        <v>37625</v>
      </c>
      <c r="K103">
        <v>236</v>
      </c>
      <c r="L103" t="s">
        <v>51</v>
      </c>
      <c r="M103" t="s">
        <v>28</v>
      </c>
      <c r="N103" s="37">
        <f>(Table10_1[[#This Row],[Likes]]+Table10_1[[#This Row],[Shares]]+Table10_1[[#This Row],[Comments]])/Table10_1[[#This Row],[Impressions]]</f>
        <v>0.13599052880820836</v>
      </c>
    </row>
    <row r="104" spans="1:14" x14ac:dyDescent="0.25">
      <c r="A104" t="s">
        <v>153</v>
      </c>
      <c r="B104" t="s">
        <v>30</v>
      </c>
      <c r="C104" s="17">
        <v>45637</v>
      </c>
      <c r="D104" t="s">
        <v>59</v>
      </c>
      <c r="E104" t="s">
        <v>66</v>
      </c>
      <c r="F104">
        <v>1431</v>
      </c>
      <c r="G104">
        <v>951</v>
      </c>
      <c r="H104">
        <v>26</v>
      </c>
      <c r="I104">
        <v>8586</v>
      </c>
      <c r="J104">
        <v>8396</v>
      </c>
      <c r="K104">
        <v>150</v>
      </c>
      <c r="L104" t="s">
        <v>33</v>
      </c>
      <c r="M104" t="s">
        <v>28</v>
      </c>
      <c r="N104" s="37">
        <f>(Table10_1[[#This Row],[Likes]]+Table10_1[[#This Row],[Shares]]+Table10_1[[#This Row],[Comments]])/Table10_1[[#This Row],[Impressions]]</f>
        <v>0.28045655718611695</v>
      </c>
    </row>
    <row r="105" spans="1:14" x14ac:dyDescent="0.25">
      <c r="A105" t="s">
        <v>154</v>
      </c>
      <c r="B105" t="s">
        <v>30</v>
      </c>
      <c r="C105" s="17">
        <v>45603</v>
      </c>
      <c r="D105" t="s">
        <v>44</v>
      </c>
      <c r="E105" t="s">
        <v>140</v>
      </c>
      <c r="F105">
        <v>2647</v>
      </c>
      <c r="G105">
        <v>304</v>
      </c>
      <c r="H105">
        <v>170</v>
      </c>
      <c r="I105">
        <v>18529</v>
      </c>
      <c r="J105">
        <v>17841</v>
      </c>
      <c r="K105">
        <v>46</v>
      </c>
      <c r="L105" t="s">
        <v>51</v>
      </c>
      <c r="M105" t="s">
        <v>28</v>
      </c>
      <c r="N105" s="37">
        <f>(Table10_1[[#This Row],[Likes]]+Table10_1[[#This Row],[Shares]]+Table10_1[[#This Row],[Comments]])/Table10_1[[#This Row],[Impressions]]</f>
        <v>0.16843866371633656</v>
      </c>
    </row>
    <row r="106" spans="1:14" x14ac:dyDescent="0.25">
      <c r="A106" t="s">
        <v>155</v>
      </c>
      <c r="B106" t="s">
        <v>30</v>
      </c>
      <c r="C106" s="17">
        <v>45604</v>
      </c>
      <c r="D106" t="s">
        <v>20</v>
      </c>
      <c r="E106" t="s">
        <v>82</v>
      </c>
      <c r="F106">
        <v>3182</v>
      </c>
      <c r="G106">
        <v>559</v>
      </c>
      <c r="H106">
        <v>160</v>
      </c>
      <c r="I106">
        <v>57276</v>
      </c>
      <c r="J106">
        <v>56890</v>
      </c>
      <c r="K106">
        <v>163</v>
      </c>
      <c r="L106" t="s">
        <v>51</v>
      </c>
      <c r="M106" t="s">
        <v>34</v>
      </c>
      <c r="N106" s="37">
        <f>(Table10_1[[#This Row],[Likes]]+Table10_1[[#This Row],[Shares]]+Table10_1[[#This Row],[Comments]])/Table10_1[[#This Row],[Impressions]]</f>
        <v>6.8108806480899509E-2</v>
      </c>
    </row>
    <row r="107" spans="1:14" x14ac:dyDescent="0.25">
      <c r="A107" t="s">
        <v>156</v>
      </c>
      <c r="B107" t="s">
        <v>14</v>
      </c>
      <c r="C107" s="17">
        <v>45545</v>
      </c>
      <c r="D107" t="s">
        <v>44</v>
      </c>
      <c r="E107" t="s">
        <v>92</v>
      </c>
      <c r="F107">
        <v>1238</v>
      </c>
      <c r="G107">
        <v>366</v>
      </c>
      <c r="H107">
        <v>444</v>
      </c>
      <c r="I107">
        <v>19808</v>
      </c>
      <c r="J107">
        <v>19334</v>
      </c>
      <c r="K107">
        <v>123</v>
      </c>
      <c r="L107" t="s">
        <v>51</v>
      </c>
      <c r="N107" s="37">
        <f>(Table10_1[[#This Row],[Likes]]+Table10_1[[#This Row],[Shares]]+Table10_1[[#This Row],[Comments]])/Table10_1[[#This Row],[Impressions]]</f>
        <v>0.10339256865912763</v>
      </c>
    </row>
    <row r="108" spans="1:14" x14ac:dyDescent="0.25">
      <c r="A108" t="s">
        <v>157</v>
      </c>
      <c r="B108" t="s">
        <v>30</v>
      </c>
      <c r="C108" s="17">
        <v>45517</v>
      </c>
      <c r="D108" t="s">
        <v>44</v>
      </c>
      <c r="E108" t="s">
        <v>140</v>
      </c>
      <c r="F108">
        <v>4739</v>
      </c>
      <c r="G108">
        <v>527</v>
      </c>
      <c r="H108">
        <v>135</v>
      </c>
      <c r="I108">
        <v>61607</v>
      </c>
      <c r="J108">
        <v>61333</v>
      </c>
      <c r="K108">
        <v>36</v>
      </c>
      <c r="L108" t="s">
        <v>27</v>
      </c>
      <c r="M108" t="s">
        <v>23</v>
      </c>
      <c r="N108" s="37">
        <f>(Table10_1[[#This Row],[Likes]]+Table10_1[[#This Row],[Shares]]+Table10_1[[#This Row],[Comments]])/Table10_1[[#This Row],[Impressions]]</f>
        <v>8.7668609086629767E-2</v>
      </c>
    </row>
    <row r="109" spans="1:14" x14ac:dyDescent="0.25">
      <c r="A109" t="s">
        <v>157</v>
      </c>
      <c r="B109" t="s">
        <v>30</v>
      </c>
      <c r="C109" s="17">
        <v>45517</v>
      </c>
      <c r="D109" t="s">
        <v>44</v>
      </c>
      <c r="E109" t="s">
        <v>140</v>
      </c>
      <c r="F109">
        <v>4739</v>
      </c>
      <c r="G109">
        <v>527</v>
      </c>
      <c r="H109">
        <v>135</v>
      </c>
      <c r="I109">
        <v>61607</v>
      </c>
      <c r="J109">
        <v>61333</v>
      </c>
      <c r="K109">
        <v>36</v>
      </c>
      <c r="L109" t="s">
        <v>379</v>
      </c>
      <c r="M109" t="s">
        <v>23</v>
      </c>
      <c r="N109" s="37">
        <f>(Table10_1[[#This Row],[Likes]]+Table10_1[[#This Row],[Shares]]+Table10_1[[#This Row],[Comments]])/Table10_1[[#This Row],[Impressions]]</f>
        <v>8.7668609086629767E-2</v>
      </c>
    </row>
    <row r="110" spans="1:14" x14ac:dyDescent="0.25">
      <c r="A110" t="s">
        <v>158</v>
      </c>
      <c r="B110" t="s">
        <v>14</v>
      </c>
      <c r="C110" s="17">
        <v>45453</v>
      </c>
      <c r="D110" t="s">
        <v>31</v>
      </c>
      <c r="E110" t="s">
        <v>102</v>
      </c>
      <c r="F110">
        <v>1575</v>
      </c>
      <c r="G110">
        <v>771</v>
      </c>
      <c r="H110">
        <v>486</v>
      </c>
      <c r="I110">
        <v>25200</v>
      </c>
      <c r="J110">
        <v>24826</v>
      </c>
      <c r="K110">
        <v>17</v>
      </c>
      <c r="L110" t="s">
        <v>51</v>
      </c>
      <c r="M110" t="s">
        <v>34</v>
      </c>
      <c r="N110" s="37">
        <f>(Table10_1[[#This Row],[Likes]]+Table10_1[[#This Row],[Shares]]+Table10_1[[#This Row],[Comments]])/Table10_1[[#This Row],[Impressions]]</f>
        <v>0.11238095238095239</v>
      </c>
    </row>
    <row r="111" spans="1:14" x14ac:dyDescent="0.25">
      <c r="A111" t="s">
        <v>159</v>
      </c>
      <c r="B111" t="s">
        <v>25</v>
      </c>
      <c r="C111" s="17">
        <v>45475</v>
      </c>
      <c r="D111" t="s">
        <v>39</v>
      </c>
      <c r="E111" t="s">
        <v>55</v>
      </c>
      <c r="F111">
        <v>4171</v>
      </c>
      <c r="G111">
        <v>548</v>
      </c>
      <c r="H111">
        <v>86</v>
      </c>
      <c r="I111">
        <v>66736</v>
      </c>
      <c r="J111">
        <v>66634</v>
      </c>
      <c r="K111">
        <v>173</v>
      </c>
      <c r="L111" t="s">
        <v>51</v>
      </c>
      <c r="M111" t="s">
        <v>28</v>
      </c>
      <c r="N111" s="37">
        <f>(Table10_1[[#This Row],[Likes]]+Table10_1[[#This Row],[Shares]]+Table10_1[[#This Row],[Comments]])/Table10_1[[#This Row],[Impressions]]</f>
        <v>7.2000119875329657E-2</v>
      </c>
    </row>
    <row r="112" spans="1:14" x14ac:dyDescent="0.25">
      <c r="A112" t="s">
        <v>160</v>
      </c>
      <c r="B112" t="s">
        <v>25</v>
      </c>
      <c r="C112" s="17">
        <v>45698</v>
      </c>
      <c r="D112" t="s">
        <v>59</v>
      </c>
      <c r="E112" t="s">
        <v>143</v>
      </c>
      <c r="F112">
        <v>1766</v>
      </c>
      <c r="G112">
        <v>92</v>
      </c>
      <c r="H112">
        <v>424</v>
      </c>
      <c r="I112">
        <v>24724</v>
      </c>
      <c r="J112">
        <v>24333</v>
      </c>
      <c r="K112">
        <v>52</v>
      </c>
      <c r="L112" t="s">
        <v>33</v>
      </c>
      <c r="N112" s="37">
        <f>(Table10_1[[#This Row],[Likes]]+Table10_1[[#This Row],[Shares]]+Table10_1[[#This Row],[Comments]])/Table10_1[[#This Row],[Impressions]]</f>
        <v>9.2298980747451867E-2</v>
      </c>
    </row>
    <row r="113" spans="1:14" x14ac:dyDescent="0.25">
      <c r="A113" t="s">
        <v>161</v>
      </c>
      <c r="B113" t="s">
        <v>25</v>
      </c>
      <c r="C113" s="17">
        <v>45583</v>
      </c>
      <c r="D113" t="s">
        <v>59</v>
      </c>
      <c r="E113" t="s">
        <v>143</v>
      </c>
      <c r="F113">
        <v>4450</v>
      </c>
      <c r="G113">
        <v>983</v>
      </c>
      <c r="H113">
        <v>143</v>
      </c>
      <c r="I113">
        <v>75650</v>
      </c>
      <c r="J113">
        <v>75008</v>
      </c>
      <c r="K113">
        <v>12</v>
      </c>
      <c r="L113" t="s">
        <v>51</v>
      </c>
      <c r="M113" t="s">
        <v>28</v>
      </c>
      <c r="N113" s="37">
        <f>(Table10_1[[#This Row],[Likes]]+Table10_1[[#This Row],[Shares]]+Table10_1[[#This Row],[Comments]])/Table10_1[[#This Row],[Impressions]]</f>
        <v>7.3707865168539333E-2</v>
      </c>
    </row>
    <row r="114" spans="1:14" x14ac:dyDescent="0.25">
      <c r="A114" t="s">
        <v>162</v>
      </c>
      <c r="B114" t="s">
        <v>14</v>
      </c>
      <c r="C114" s="17">
        <v>45553</v>
      </c>
      <c r="D114" t="s">
        <v>15</v>
      </c>
      <c r="E114" t="s">
        <v>16</v>
      </c>
      <c r="F114">
        <v>1000</v>
      </c>
      <c r="G114">
        <v>978</v>
      </c>
      <c r="H114">
        <v>162</v>
      </c>
      <c r="I114">
        <v>6000</v>
      </c>
      <c r="J114">
        <v>5221</v>
      </c>
      <c r="K114">
        <v>223</v>
      </c>
      <c r="L114" t="s">
        <v>33</v>
      </c>
      <c r="M114" t="s">
        <v>23</v>
      </c>
      <c r="N114" s="37">
        <f>(Table10_1[[#This Row],[Likes]]+Table10_1[[#This Row],[Shares]]+Table10_1[[#This Row],[Comments]])/Table10_1[[#This Row],[Impressions]]</f>
        <v>0.35666666666666669</v>
      </c>
    </row>
    <row r="115" spans="1:14" x14ac:dyDescent="0.25">
      <c r="A115" t="s">
        <v>163</v>
      </c>
      <c r="B115" t="s">
        <v>38</v>
      </c>
      <c r="C115" s="17">
        <v>45454</v>
      </c>
      <c r="D115" t="s">
        <v>44</v>
      </c>
      <c r="E115" t="s">
        <v>49</v>
      </c>
      <c r="F115">
        <v>3689</v>
      </c>
      <c r="G115">
        <v>48</v>
      </c>
      <c r="H115">
        <v>306</v>
      </c>
      <c r="I115">
        <v>40579</v>
      </c>
      <c r="J115">
        <v>39588</v>
      </c>
      <c r="K115">
        <v>212</v>
      </c>
      <c r="L115" t="s">
        <v>33</v>
      </c>
      <c r="M115" t="s">
        <v>23</v>
      </c>
      <c r="N115" s="37">
        <f>(Table10_1[[#This Row],[Likes]]+Table10_1[[#This Row],[Shares]]+Table10_1[[#This Row],[Comments]])/Table10_1[[#This Row],[Impressions]]</f>
        <v>9.9632815002833983E-2</v>
      </c>
    </row>
    <row r="116" spans="1:14" x14ac:dyDescent="0.25">
      <c r="A116" t="s">
        <v>164</v>
      </c>
      <c r="B116" t="s">
        <v>25</v>
      </c>
      <c r="C116" s="17">
        <v>45739</v>
      </c>
      <c r="D116" t="s">
        <v>31</v>
      </c>
      <c r="E116" t="s">
        <v>105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27</v>
      </c>
      <c r="M116" t="s">
        <v>28</v>
      </c>
      <c r="N116" s="37">
        <f>(Table10_1[[#This Row],[Likes]]+Table10_1[[#This Row],[Shares]]+Table10_1[[#This Row],[Comments]])/Table10_1[[#This Row],[Impressions]]</f>
        <v>0.13707250341997265</v>
      </c>
    </row>
    <row r="117" spans="1:14" x14ac:dyDescent="0.25">
      <c r="A117" t="s">
        <v>165</v>
      </c>
      <c r="B117" t="s">
        <v>30</v>
      </c>
      <c r="C117" s="17">
        <v>45457</v>
      </c>
      <c r="D117" t="s">
        <v>39</v>
      </c>
      <c r="E117" t="s">
        <v>68</v>
      </c>
      <c r="F117">
        <v>498</v>
      </c>
      <c r="G117">
        <v>38</v>
      </c>
      <c r="H117">
        <v>42</v>
      </c>
      <c r="I117">
        <v>4482</v>
      </c>
      <c r="J117">
        <v>3647</v>
      </c>
      <c r="K117">
        <v>32</v>
      </c>
      <c r="L117" t="s">
        <v>51</v>
      </c>
      <c r="M117" t="s">
        <v>18</v>
      </c>
      <c r="N117" s="37">
        <f>(Table10_1[[#This Row],[Likes]]+Table10_1[[#This Row],[Shares]]+Table10_1[[#This Row],[Comments]])/Table10_1[[#This Row],[Impressions]]</f>
        <v>0.12896028558679162</v>
      </c>
    </row>
    <row r="118" spans="1:14" x14ac:dyDescent="0.25">
      <c r="A118" t="s">
        <v>166</v>
      </c>
      <c r="B118" t="s">
        <v>30</v>
      </c>
      <c r="C118" s="17">
        <v>45692</v>
      </c>
      <c r="D118" t="s">
        <v>44</v>
      </c>
      <c r="E118" t="s">
        <v>140</v>
      </c>
      <c r="F118">
        <v>4619</v>
      </c>
      <c r="G118">
        <v>821</v>
      </c>
      <c r="H118">
        <v>499</v>
      </c>
      <c r="I118">
        <v>69285</v>
      </c>
      <c r="J118">
        <v>69141</v>
      </c>
      <c r="K118">
        <v>298</v>
      </c>
      <c r="L118" t="s">
        <v>27</v>
      </c>
      <c r="M118" t="s">
        <v>34</v>
      </c>
      <c r="N118" s="37">
        <f>(Table10_1[[#This Row],[Likes]]+Table10_1[[#This Row],[Shares]]+Table10_1[[#This Row],[Comments]])/Table10_1[[#This Row],[Impressions]]</f>
        <v>8.5718409468138843E-2</v>
      </c>
    </row>
    <row r="119" spans="1:14" x14ac:dyDescent="0.25">
      <c r="A119" t="s">
        <v>167</v>
      </c>
      <c r="B119" t="s">
        <v>25</v>
      </c>
      <c r="C119" s="17">
        <v>45464</v>
      </c>
      <c r="D119" t="s">
        <v>44</v>
      </c>
      <c r="E119" t="s">
        <v>45</v>
      </c>
      <c r="F119">
        <v>4832</v>
      </c>
      <c r="G119">
        <v>893</v>
      </c>
      <c r="H119">
        <v>10</v>
      </c>
      <c r="I119">
        <v>91808</v>
      </c>
      <c r="J119">
        <v>91296</v>
      </c>
      <c r="K119">
        <v>182</v>
      </c>
      <c r="L119" t="s">
        <v>27</v>
      </c>
      <c r="N119" s="37">
        <f>(Table10_1[[#This Row],[Likes]]+Table10_1[[#This Row],[Shares]]+Table10_1[[#This Row],[Comments]])/Table10_1[[#This Row],[Impressions]]</f>
        <v>6.2467323109097243E-2</v>
      </c>
    </row>
    <row r="120" spans="1:14" x14ac:dyDescent="0.25">
      <c r="A120" t="s">
        <v>168</v>
      </c>
      <c r="B120" t="s">
        <v>14</v>
      </c>
      <c r="C120" s="17">
        <v>45741</v>
      </c>
      <c r="D120" t="s">
        <v>59</v>
      </c>
      <c r="E120" t="s">
        <v>99</v>
      </c>
      <c r="F120">
        <v>4050</v>
      </c>
      <c r="G120">
        <v>871</v>
      </c>
      <c r="H120">
        <v>347</v>
      </c>
      <c r="I120">
        <v>52650</v>
      </c>
      <c r="J120">
        <v>51755</v>
      </c>
      <c r="K120">
        <v>209</v>
      </c>
      <c r="L120" t="s">
        <v>27</v>
      </c>
      <c r="M120" t="s">
        <v>23</v>
      </c>
      <c r="N120" s="37">
        <f>(Table10_1[[#This Row],[Likes]]+Table10_1[[#This Row],[Shares]]+Table10_1[[#This Row],[Comments]])/Table10_1[[#This Row],[Impressions]]</f>
        <v>0.10005698005698006</v>
      </c>
    </row>
    <row r="121" spans="1:14" x14ac:dyDescent="0.25">
      <c r="A121" t="s">
        <v>169</v>
      </c>
      <c r="B121" t="s">
        <v>14</v>
      </c>
      <c r="C121" s="17">
        <v>45512</v>
      </c>
      <c r="D121" t="s">
        <v>31</v>
      </c>
      <c r="E121" t="s">
        <v>102</v>
      </c>
      <c r="F121">
        <v>3649</v>
      </c>
      <c r="G121">
        <v>215</v>
      </c>
      <c r="H121">
        <v>413</v>
      </c>
      <c r="I121">
        <v>25543</v>
      </c>
      <c r="J121">
        <v>24963</v>
      </c>
      <c r="K121">
        <v>167</v>
      </c>
      <c r="L121" t="s">
        <v>51</v>
      </c>
      <c r="M121" t="s">
        <v>28</v>
      </c>
      <c r="N121" s="37">
        <f>(Table10_1[[#This Row],[Likes]]+Table10_1[[#This Row],[Shares]]+Table10_1[[#This Row],[Comments]])/Table10_1[[#This Row],[Impressions]]</f>
        <v>0.16744313510550835</v>
      </c>
    </row>
    <row r="122" spans="1:14" x14ac:dyDescent="0.25">
      <c r="A122" t="s">
        <v>170</v>
      </c>
      <c r="B122" t="s">
        <v>30</v>
      </c>
      <c r="C122" s="17">
        <v>45502</v>
      </c>
      <c r="D122" t="s">
        <v>15</v>
      </c>
      <c r="E122" t="s">
        <v>64</v>
      </c>
      <c r="F122">
        <v>3523</v>
      </c>
      <c r="G122">
        <v>753</v>
      </c>
      <c r="H122">
        <v>482</v>
      </c>
      <c r="I122">
        <v>38753</v>
      </c>
      <c r="J122">
        <v>38579</v>
      </c>
      <c r="K122">
        <v>270</v>
      </c>
      <c r="L122" t="s">
        <v>33</v>
      </c>
      <c r="M122" t="s">
        <v>23</v>
      </c>
      <c r="N122" s="37">
        <f>(Table10_1[[#This Row],[Likes]]+Table10_1[[#This Row],[Shares]]+Table10_1[[#This Row],[Comments]])/Table10_1[[#This Row],[Impressions]]</f>
        <v>0.12277759141227776</v>
      </c>
    </row>
    <row r="123" spans="1:14" x14ac:dyDescent="0.25">
      <c r="A123" t="s">
        <v>171</v>
      </c>
      <c r="B123" t="s">
        <v>25</v>
      </c>
      <c r="C123" s="17">
        <v>45619</v>
      </c>
      <c r="D123" t="s">
        <v>44</v>
      </c>
      <c r="E123" t="s">
        <v>45</v>
      </c>
      <c r="F123">
        <v>2719</v>
      </c>
      <c r="G123">
        <v>17</v>
      </c>
      <c r="H123">
        <v>285</v>
      </c>
      <c r="I123">
        <v>40785</v>
      </c>
      <c r="J123">
        <v>40281</v>
      </c>
      <c r="K123">
        <v>40</v>
      </c>
      <c r="L123" t="s">
        <v>27</v>
      </c>
      <c r="M123" t="s">
        <v>23</v>
      </c>
      <c r="N123" s="37">
        <f>(Table10_1[[#This Row],[Likes]]+Table10_1[[#This Row],[Shares]]+Table10_1[[#This Row],[Comments]])/Table10_1[[#This Row],[Impressions]]</f>
        <v>7.4071349760941527E-2</v>
      </c>
    </row>
    <row r="124" spans="1:14" x14ac:dyDescent="0.25">
      <c r="A124" t="s">
        <v>172</v>
      </c>
      <c r="B124" t="s">
        <v>14</v>
      </c>
      <c r="C124" s="17">
        <v>45570</v>
      </c>
      <c r="D124" t="s">
        <v>31</v>
      </c>
      <c r="E124" t="s">
        <v>102</v>
      </c>
      <c r="F124">
        <v>1957</v>
      </c>
      <c r="G124">
        <v>877</v>
      </c>
      <c r="H124">
        <v>238</v>
      </c>
      <c r="I124">
        <v>17613</v>
      </c>
      <c r="J124">
        <v>16865</v>
      </c>
      <c r="K124">
        <v>297</v>
      </c>
      <c r="L124" t="s">
        <v>51</v>
      </c>
      <c r="M124" t="s">
        <v>28</v>
      </c>
      <c r="N124" s="37">
        <f>(Table10_1[[#This Row],[Likes]]+Table10_1[[#This Row],[Shares]]+Table10_1[[#This Row],[Comments]])/Table10_1[[#This Row],[Impressions]]</f>
        <v>0.17441662408448305</v>
      </c>
    </row>
    <row r="125" spans="1:14" x14ac:dyDescent="0.25">
      <c r="A125" t="s">
        <v>173</v>
      </c>
      <c r="B125" t="s">
        <v>14</v>
      </c>
      <c r="C125" s="17">
        <v>45567</v>
      </c>
      <c r="D125" t="s">
        <v>39</v>
      </c>
      <c r="E125" t="s">
        <v>42</v>
      </c>
      <c r="F125">
        <v>4419</v>
      </c>
      <c r="G125">
        <v>236</v>
      </c>
      <c r="H125">
        <v>369</v>
      </c>
      <c r="I125">
        <v>44190</v>
      </c>
      <c r="J125">
        <v>43582</v>
      </c>
      <c r="K125">
        <v>10</v>
      </c>
      <c r="L125" t="s">
        <v>33</v>
      </c>
      <c r="M125" t="s">
        <v>18</v>
      </c>
      <c r="N125" s="37">
        <f>(Table10_1[[#This Row],[Likes]]+Table10_1[[#This Row],[Shares]]+Table10_1[[#This Row],[Comments]])/Table10_1[[#This Row],[Impressions]]</f>
        <v>0.11369088028965829</v>
      </c>
    </row>
    <row r="126" spans="1:14" x14ac:dyDescent="0.25">
      <c r="A126" t="s">
        <v>174</v>
      </c>
      <c r="B126" t="s">
        <v>14</v>
      </c>
      <c r="C126" s="17">
        <v>45610</v>
      </c>
      <c r="D126" t="s">
        <v>31</v>
      </c>
      <c r="E126" t="s">
        <v>102</v>
      </c>
      <c r="F126">
        <v>4000</v>
      </c>
      <c r="G126">
        <v>689</v>
      </c>
      <c r="H126">
        <v>488</v>
      </c>
      <c r="I126">
        <v>40000</v>
      </c>
      <c r="J126">
        <v>39569</v>
      </c>
      <c r="K126">
        <v>44</v>
      </c>
      <c r="L126" t="s">
        <v>51</v>
      </c>
      <c r="M126" t="s">
        <v>18</v>
      </c>
      <c r="N126" s="37">
        <f>(Table10_1[[#This Row],[Likes]]+Table10_1[[#This Row],[Shares]]+Table10_1[[#This Row],[Comments]])/Table10_1[[#This Row],[Impressions]]</f>
        <v>0.12942500000000001</v>
      </c>
    </row>
    <row r="127" spans="1:14" x14ac:dyDescent="0.25">
      <c r="A127" t="s">
        <v>175</v>
      </c>
      <c r="B127" t="s">
        <v>14</v>
      </c>
      <c r="C127" s="17">
        <v>45788</v>
      </c>
      <c r="D127" t="s">
        <v>44</v>
      </c>
      <c r="E127" t="s">
        <v>92</v>
      </c>
      <c r="F127">
        <v>2493</v>
      </c>
      <c r="G127">
        <v>97</v>
      </c>
      <c r="H127">
        <v>44</v>
      </c>
      <c r="I127">
        <v>42381</v>
      </c>
      <c r="J127">
        <v>41991</v>
      </c>
      <c r="K127">
        <v>242</v>
      </c>
      <c r="L127" t="s">
        <v>27</v>
      </c>
      <c r="M127" t="s">
        <v>34</v>
      </c>
      <c r="N127" s="37">
        <f>(Table10_1[[#This Row],[Likes]]+Table10_1[[#This Row],[Shares]]+Table10_1[[#This Row],[Comments]])/Table10_1[[#This Row],[Impressions]]</f>
        <v>6.2150491965739366E-2</v>
      </c>
    </row>
    <row r="128" spans="1:14" x14ac:dyDescent="0.25">
      <c r="A128" t="s">
        <v>175</v>
      </c>
      <c r="B128" t="s">
        <v>14</v>
      </c>
      <c r="C128" s="17">
        <v>45788</v>
      </c>
      <c r="D128" t="s">
        <v>44</v>
      </c>
      <c r="E128" t="s">
        <v>92</v>
      </c>
      <c r="F128">
        <v>2493</v>
      </c>
      <c r="G128">
        <v>97</v>
      </c>
      <c r="H128">
        <v>44</v>
      </c>
      <c r="I128">
        <v>42381</v>
      </c>
      <c r="J128">
        <v>41991</v>
      </c>
      <c r="K128">
        <v>242</v>
      </c>
      <c r="L128" t="s">
        <v>379</v>
      </c>
      <c r="M128" t="s">
        <v>34</v>
      </c>
      <c r="N128" s="37">
        <f>(Table10_1[[#This Row],[Likes]]+Table10_1[[#This Row],[Shares]]+Table10_1[[#This Row],[Comments]])/Table10_1[[#This Row],[Impressions]]</f>
        <v>6.2150491965739366E-2</v>
      </c>
    </row>
    <row r="129" spans="1:14" x14ac:dyDescent="0.25">
      <c r="A129" t="s">
        <v>176</v>
      </c>
      <c r="B129" t="s">
        <v>25</v>
      </c>
      <c r="C129" s="17">
        <v>45734</v>
      </c>
      <c r="D129" t="s">
        <v>15</v>
      </c>
      <c r="E129" t="s">
        <v>26</v>
      </c>
      <c r="F129">
        <v>3704</v>
      </c>
      <c r="G129">
        <v>186</v>
      </c>
      <c r="H129">
        <v>458</v>
      </c>
      <c r="I129">
        <v>25928</v>
      </c>
      <c r="J129">
        <v>25081</v>
      </c>
      <c r="K129">
        <v>131</v>
      </c>
      <c r="L129" t="s">
        <v>27</v>
      </c>
      <c r="N129" s="37">
        <f>(Table10_1[[#This Row],[Likes]]+Table10_1[[#This Row],[Shares]]+Table10_1[[#This Row],[Comments]])/Table10_1[[#This Row],[Impressions]]</f>
        <v>0.16769515581610614</v>
      </c>
    </row>
    <row r="130" spans="1:14" x14ac:dyDescent="0.25">
      <c r="A130" t="s">
        <v>177</v>
      </c>
      <c r="B130" t="s">
        <v>14</v>
      </c>
      <c r="C130" s="17">
        <v>45600</v>
      </c>
      <c r="D130" t="s">
        <v>44</v>
      </c>
      <c r="E130" t="s">
        <v>92</v>
      </c>
      <c r="F130">
        <v>1606</v>
      </c>
      <c r="G130">
        <v>451</v>
      </c>
      <c r="H130">
        <v>405</v>
      </c>
      <c r="I130">
        <v>20878</v>
      </c>
      <c r="J130">
        <v>20190</v>
      </c>
      <c r="K130">
        <v>219</v>
      </c>
      <c r="L130" t="s">
        <v>33</v>
      </c>
      <c r="M130" t="s">
        <v>34</v>
      </c>
      <c r="N130" s="37">
        <f>(Table10_1[[#This Row],[Likes]]+Table10_1[[#This Row],[Shares]]+Table10_1[[#This Row],[Comments]])/Table10_1[[#This Row],[Impressions]]</f>
        <v>0.11792317271769326</v>
      </c>
    </row>
    <row r="131" spans="1:14" x14ac:dyDescent="0.25">
      <c r="A131" t="s">
        <v>178</v>
      </c>
      <c r="B131" t="s">
        <v>38</v>
      </c>
      <c r="C131" s="17">
        <v>45600</v>
      </c>
      <c r="D131" t="s">
        <v>44</v>
      </c>
      <c r="E131" t="s">
        <v>49</v>
      </c>
      <c r="F131">
        <v>4551</v>
      </c>
      <c r="G131">
        <v>714</v>
      </c>
      <c r="H131">
        <v>207</v>
      </c>
      <c r="I131">
        <v>68265</v>
      </c>
      <c r="J131">
        <v>67754</v>
      </c>
      <c r="K131">
        <v>57</v>
      </c>
      <c r="L131" t="s">
        <v>51</v>
      </c>
      <c r="M131" t="s">
        <v>28</v>
      </c>
      <c r="N131" s="37">
        <f>(Table10_1[[#This Row],[Likes]]+Table10_1[[#This Row],[Shares]]+Table10_1[[#This Row],[Comments]])/Table10_1[[#This Row],[Impressions]]</f>
        <v>8.0158206987475278E-2</v>
      </c>
    </row>
    <row r="132" spans="1:14" x14ac:dyDescent="0.25">
      <c r="A132" t="s">
        <v>179</v>
      </c>
      <c r="B132" t="s">
        <v>30</v>
      </c>
      <c r="C132" s="17">
        <v>45695</v>
      </c>
      <c r="D132" t="s">
        <v>15</v>
      </c>
      <c r="E132" t="s">
        <v>64</v>
      </c>
      <c r="F132">
        <v>1970</v>
      </c>
      <c r="G132">
        <v>675</v>
      </c>
      <c r="H132">
        <v>478</v>
      </c>
      <c r="I132">
        <v>9850</v>
      </c>
      <c r="J132">
        <v>8924</v>
      </c>
      <c r="K132">
        <v>117</v>
      </c>
      <c r="L132" t="s">
        <v>51</v>
      </c>
      <c r="N132" s="37">
        <f>(Table10_1[[#This Row],[Likes]]+Table10_1[[#This Row],[Shares]]+Table10_1[[#This Row],[Comments]])/Table10_1[[#This Row],[Impressions]]</f>
        <v>0.31705583756345179</v>
      </c>
    </row>
    <row r="133" spans="1:14" x14ac:dyDescent="0.25">
      <c r="A133" t="s">
        <v>180</v>
      </c>
      <c r="B133" t="s">
        <v>38</v>
      </c>
      <c r="C133" s="17">
        <v>45586</v>
      </c>
      <c r="D133" t="s">
        <v>31</v>
      </c>
      <c r="E133" t="s">
        <v>57</v>
      </c>
      <c r="F133">
        <v>780</v>
      </c>
      <c r="G133">
        <v>928</v>
      </c>
      <c r="H133">
        <v>301</v>
      </c>
      <c r="I133">
        <v>8580</v>
      </c>
      <c r="J133">
        <v>8081</v>
      </c>
      <c r="K133">
        <v>91</v>
      </c>
      <c r="L133" t="s">
        <v>33</v>
      </c>
      <c r="M133" t="s">
        <v>28</v>
      </c>
      <c r="N133" s="37">
        <f>(Table10_1[[#This Row],[Likes]]+Table10_1[[#This Row],[Shares]]+Table10_1[[#This Row],[Comments]])/Table10_1[[#This Row],[Impressions]]</f>
        <v>0.23414918414918415</v>
      </c>
    </row>
    <row r="134" spans="1:14" x14ac:dyDescent="0.25">
      <c r="A134" t="s">
        <v>181</v>
      </c>
      <c r="B134" t="s">
        <v>30</v>
      </c>
      <c r="C134" s="17">
        <v>45502</v>
      </c>
      <c r="D134" t="s">
        <v>31</v>
      </c>
      <c r="E134" t="s">
        <v>32</v>
      </c>
      <c r="F134">
        <v>498</v>
      </c>
      <c r="G134">
        <v>701</v>
      </c>
      <c r="H134">
        <v>412</v>
      </c>
      <c r="I134">
        <v>4980</v>
      </c>
      <c r="J134">
        <v>4185</v>
      </c>
      <c r="K134">
        <v>185</v>
      </c>
      <c r="L134" t="s">
        <v>51</v>
      </c>
      <c r="N134" s="37">
        <f>(Table10_1[[#This Row],[Likes]]+Table10_1[[#This Row],[Shares]]+Table10_1[[#This Row],[Comments]])/Table10_1[[#This Row],[Impressions]]</f>
        <v>0.32349397590361445</v>
      </c>
    </row>
    <row r="135" spans="1:14" x14ac:dyDescent="0.25">
      <c r="A135" t="s">
        <v>182</v>
      </c>
      <c r="B135" t="s">
        <v>30</v>
      </c>
      <c r="C135" s="17">
        <v>45567</v>
      </c>
      <c r="D135" t="s">
        <v>20</v>
      </c>
      <c r="E135" t="s">
        <v>82</v>
      </c>
      <c r="F135">
        <v>3432</v>
      </c>
      <c r="G135">
        <v>869</v>
      </c>
      <c r="H135">
        <v>123</v>
      </c>
      <c r="I135">
        <v>54912</v>
      </c>
      <c r="J135">
        <v>53916</v>
      </c>
      <c r="K135">
        <v>264</v>
      </c>
      <c r="L135" t="s">
        <v>33</v>
      </c>
      <c r="M135" t="s">
        <v>23</v>
      </c>
      <c r="N135" s="37">
        <f>(Table10_1[[#This Row],[Likes]]+Table10_1[[#This Row],[Shares]]+Table10_1[[#This Row],[Comments]])/Table10_1[[#This Row],[Impressions]]</f>
        <v>8.0565268065268064E-2</v>
      </c>
    </row>
    <row r="136" spans="1:14" x14ac:dyDescent="0.25">
      <c r="A136" t="s">
        <v>183</v>
      </c>
      <c r="B136" t="s">
        <v>30</v>
      </c>
      <c r="C136" s="17">
        <v>45457</v>
      </c>
      <c r="D136" t="s">
        <v>31</v>
      </c>
      <c r="E136" t="s">
        <v>32</v>
      </c>
      <c r="F136">
        <v>4363</v>
      </c>
      <c r="G136">
        <v>649</v>
      </c>
      <c r="H136">
        <v>140</v>
      </c>
      <c r="I136">
        <v>21815</v>
      </c>
      <c r="J136">
        <v>21481</v>
      </c>
      <c r="K136">
        <v>157</v>
      </c>
      <c r="L136" t="s">
        <v>33</v>
      </c>
      <c r="M136" t="s">
        <v>18</v>
      </c>
      <c r="N136" s="37">
        <f>(Table10_1[[#This Row],[Likes]]+Table10_1[[#This Row],[Shares]]+Table10_1[[#This Row],[Comments]])/Table10_1[[#This Row],[Impressions]]</f>
        <v>0.23616777446710979</v>
      </c>
    </row>
    <row r="137" spans="1:14" x14ac:dyDescent="0.25">
      <c r="A137" t="s">
        <v>184</v>
      </c>
      <c r="B137" t="s">
        <v>25</v>
      </c>
      <c r="C137" s="17">
        <v>45753</v>
      </c>
      <c r="D137" t="s">
        <v>39</v>
      </c>
      <c r="E137" t="s">
        <v>55</v>
      </c>
      <c r="F137">
        <v>736</v>
      </c>
      <c r="G137">
        <v>771</v>
      </c>
      <c r="H137">
        <v>225</v>
      </c>
      <c r="I137">
        <v>5152</v>
      </c>
      <c r="J137">
        <v>4706</v>
      </c>
      <c r="K137">
        <v>19</v>
      </c>
      <c r="L137" t="s">
        <v>33</v>
      </c>
      <c r="M137" t="s">
        <v>18</v>
      </c>
      <c r="N137" s="37">
        <f>(Table10_1[[#This Row],[Likes]]+Table10_1[[#This Row],[Shares]]+Table10_1[[#This Row],[Comments]])/Table10_1[[#This Row],[Impressions]]</f>
        <v>0.33618012422360249</v>
      </c>
    </row>
    <row r="138" spans="1:14" x14ac:dyDescent="0.25">
      <c r="A138" t="s">
        <v>185</v>
      </c>
      <c r="B138" t="s">
        <v>14</v>
      </c>
      <c r="C138" s="17">
        <v>45543</v>
      </c>
      <c r="D138" t="s">
        <v>39</v>
      </c>
      <c r="E138" t="s">
        <v>42</v>
      </c>
      <c r="F138">
        <v>3811</v>
      </c>
      <c r="G138">
        <v>866</v>
      </c>
      <c r="H138">
        <v>216</v>
      </c>
      <c r="I138">
        <v>34299</v>
      </c>
      <c r="J138">
        <v>34088</v>
      </c>
      <c r="K138">
        <v>233</v>
      </c>
      <c r="L138" t="s">
        <v>27</v>
      </c>
      <c r="M138" t="s">
        <v>34</v>
      </c>
      <c r="N138" s="37">
        <f>(Table10_1[[#This Row],[Likes]]+Table10_1[[#This Row],[Shares]]+Table10_1[[#This Row],[Comments]])/Table10_1[[#This Row],[Impressions]]</f>
        <v>0.14265722032712325</v>
      </c>
    </row>
    <row r="139" spans="1:14" x14ac:dyDescent="0.25">
      <c r="A139" t="s">
        <v>186</v>
      </c>
      <c r="B139" t="s">
        <v>30</v>
      </c>
      <c r="C139" s="17">
        <v>45744</v>
      </c>
      <c r="D139" t="s">
        <v>39</v>
      </c>
      <c r="E139" t="s">
        <v>68</v>
      </c>
      <c r="F139">
        <v>4158</v>
      </c>
      <c r="G139">
        <v>167</v>
      </c>
      <c r="H139">
        <v>241</v>
      </c>
      <c r="I139">
        <v>45738</v>
      </c>
      <c r="J139">
        <v>45183</v>
      </c>
      <c r="K139">
        <v>142</v>
      </c>
      <c r="L139" t="s">
        <v>51</v>
      </c>
      <c r="N139" s="37">
        <f>(Table10_1[[#This Row],[Likes]]+Table10_1[[#This Row],[Shares]]+Table10_1[[#This Row],[Comments]])/Table10_1[[#This Row],[Impressions]]</f>
        <v>9.9829463465827106E-2</v>
      </c>
    </row>
    <row r="140" spans="1:14" x14ac:dyDescent="0.25">
      <c r="A140" t="s">
        <v>187</v>
      </c>
      <c r="B140" t="s">
        <v>38</v>
      </c>
      <c r="C140" s="17">
        <v>45684</v>
      </c>
      <c r="D140" t="s">
        <v>15</v>
      </c>
      <c r="E140" t="s">
        <v>53</v>
      </c>
      <c r="F140">
        <v>3452</v>
      </c>
      <c r="G140">
        <v>652</v>
      </c>
      <c r="H140">
        <v>442</v>
      </c>
      <c r="I140">
        <v>65588</v>
      </c>
      <c r="J140">
        <v>65049</v>
      </c>
      <c r="K140">
        <v>158</v>
      </c>
      <c r="L140" t="s">
        <v>51</v>
      </c>
      <c r="M140" t="s">
        <v>28</v>
      </c>
      <c r="N140" s="37">
        <f>(Table10_1[[#This Row],[Likes]]+Table10_1[[#This Row],[Shares]]+Table10_1[[#This Row],[Comments]])/Table10_1[[#This Row],[Impressions]]</f>
        <v>6.9311459413307311E-2</v>
      </c>
    </row>
    <row r="141" spans="1:14" x14ac:dyDescent="0.25">
      <c r="A141" t="s">
        <v>188</v>
      </c>
      <c r="B141" t="s">
        <v>14</v>
      </c>
      <c r="C141" s="17">
        <v>45667</v>
      </c>
      <c r="D141" t="s">
        <v>44</v>
      </c>
      <c r="E141" t="s">
        <v>92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51</v>
      </c>
      <c r="N141" s="37">
        <f>(Table10_1[[#This Row],[Likes]]+Table10_1[[#This Row],[Shares]]+Table10_1[[#This Row],[Comments]])/Table10_1[[#This Row],[Impressions]]</f>
        <v>0.12537731780940059</v>
      </c>
    </row>
    <row r="142" spans="1:14" x14ac:dyDescent="0.25">
      <c r="A142" t="s">
        <v>189</v>
      </c>
      <c r="B142" t="s">
        <v>14</v>
      </c>
      <c r="C142" s="17">
        <v>45494</v>
      </c>
      <c r="D142" t="s">
        <v>20</v>
      </c>
      <c r="E142" t="s">
        <v>21</v>
      </c>
      <c r="F142">
        <v>2147</v>
      </c>
      <c r="G142">
        <v>430</v>
      </c>
      <c r="H142">
        <v>393</v>
      </c>
      <c r="I142">
        <v>17176</v>
      </c>
      <c r="J142">
        <v>16483</v>
      </c>
      <c r="K142">
        <v>170</v>
      </c>
      <c r="L142" t="s">
        <v>27</v>
      </c>
      <c r="N142" s="37">
        <f>(Table10_1[[#This Row],[Likes]]+Table10_1[[#This Row],[Shares]]+Table10_1[[#This Row],[Comments]])/Table10_1[[#This Row],[Impressions]]</f>
        <v>0.17291569632044715</v>
      </c>
    </row>
    <row r="143" spans="1:14" x14ac:dyDescent="0.25">
      <c r="A143" t="s">
        <v>190</v>
      </c>
      <c r="B143" t="s">
        <v>25</v>
      </c>
      <c r="C143" s="17">
        <v>45564</v>
      </c>
      <c r="D143" t="s">
        <v>15</v>
      </c>
      <c r="E143" t="s">
        <v>26</v>
      </c>
      <c r="F143">
        <v>2936</v>
      </c>
      <c r="G143">
        <v>439</v>
      </c>
      <c r="H143">
        <v>44</v>
      </c>
      <c r="I143">
        <v>38168</v>
      </c>
      <c r="J143">
        <v>37571</v>
      </c>
      <c r="K143">
        <v>22</v>
      </c>
      <c r="L143" t="s">
        <v>33</v>
      </c>
      <c r="M143" t="s">
        <v>34</v>
      </c>
      <c r="N143" s="37">
        <f>(Table10_1[[#This Row],[Likes]]+Table10_1[[#This Row],[Shares]]+Table10_1[[#This Row],[Comments]])/Table10_1[[#This Row],[Impressions]]</f>
        <v>8.9577656675749323E-2</v>
      </c>
    </row>
    <row r="144" spans="1:14" x14ac:dyDescent="0.25">
      <c r="A144" t="s">
        <v>191</v>
      </c>
      <c r="B144" t="s">
        <v>30</v>
      </c>
      <c r="C144" s="17">
        <v>45586</v>
      </c>
      <c r="D144" t="s">
        <v>15</v>
      </c>
      <c r="E144" t="s">
        <v>64</v>
      </c>
      <c r="F144">
        <v>4840</v>
      </c>
      <c r="G144">
        <v>658</v>
      </c>
      <c r="H144">
        <v>211</v>
      </c>
      <c r="I144">
        <v>43560</v>
      </c>
      <c r="J144">
        <v>43225</v>
      </c>
      <c r="K144">
        <v>57</v>
      </c>
      <c r="L144" t="s">
        <v>51</v>
      </c>
      <c r="M144" t="s">
        <v>28</v>
      </c>
      <c r="N144" s="37">
        <f>(Table10_1[[#This Row],[Likes]]+Table10_1[[#This Row],[Shares]]+Table10_1[[#This Row],[Comments]])/Table10_1[[#This Row],[Impressions]]</f>
        <v>0.13106060606060607</v>
      </c>
    </row>
    <row r="145" spans="1:14" x14ac:dyDescent="0.25">
      <c r="A145" t="s">
        <v>192</v>
      </c>
      <c r="B145" t="s">
        <v>30</v>
      </c>
      <c r="C145" s="17">
        <v>45720</v>
      </c>
      <c r="D145" t="s">
        <v>31</v>
      </c>
      <c r="E145" t="s">
        <v>32</v>
      </c>
      <c r="F145">
        <v>1947</v>
      </c>
      <c r="G145">
        <v>842</v>
      </c>
      <c r="H145">
        <v>101</v>
      </c>
      <c r="I145">
        <v>21417</v>
      </c>
      <c r="J145">
        <v>20967</v>
      </c>
      <c r="K145">
        <v>186</v>
      </c>
      <c r="L145" t="s">
        <v>51</v>
      </c>
      <c r="M145" t="s">
        <v>23</v>
      </c>
      <c r="N145" s="37">
        <f>(Table10_1[[#This Row],[Likes]]+Table10_1[[#This Row],[Shares]]+Table10_1[[#This Row],[Comments]])/Table10_1[[#This Row],[Impressions]]</f>
        <v>0.13493953401503478</v>
      </c>
    </row>
    <row r="146" spans="1:14" x14ac:dyDescent="0.25">
      <c r="A146" t="s">
        <v>193</v>
      </c>
      <c r="B146" t="s">
        <v>38</v>
      </c>
      <c r="C146" s="17">
        <v>45694</v>
      </c>
      <c r="D146" t="s">
        <v>44</v>
      </c>
      <c r="E146" t="s">
        <v>49</v>
      </c>
      <c r="F146">
        <v>2072</v>
      </c>
      <c r="G146">
        <v>532</v>
      </c>
      <c r="H146">
        <v>71</v>
      </c>
      <c r="I146">
        <v>37296</v>
      </c>
      <c r="J146">
        <v>36467</v>
      </c>
      <c r="K146">
        <v>25</v>
      </c>
      <c r="L146" t="s">
        <v>27</v>
      </c>
      <c r="M146" t="s">
        <v>34</v>
      </c>
      <c r="N146" s="37">
        <f>(Table10_1[[#This Row],[Likes]]+Table10_1[[#This Row],[Shares]]+Table10_1[[#This Row],[Comments]])/Table10_1[[#This Row],[Impressions]]</f>
        <v>7.172350922350923E-2</v>
      </c>
    </row>
    <row r="147" spans="1:14" x14ac:dyDescent="0.25">
      <c r="A147" t="s">
        <v>194</v>
      </c>
      <c r="B147" t="s">
        <v>14</v>
      </c>
      <c r="C147" s="17">
        <v>45771</v>
      </c>
      <c r="D147" t="s">
        <v>15</v>
      </c>
      <c r="E147" t="s">
        <v>16</v>
      </c>
      <c r="F147">
        <v>3731</v>
      </c>
      <c r="G147">
        <v>115</v>
      </c>
      <c r="H147">
        <v>135</v>
      </c>
      <c r="I147">
        <v>55965</v>
      </c>
      <c r="J147">
        <v>55436</v>
      </c>
      <c r="K147">
        <v>103</v>
      </c>
      <c r="L147" t="s">
        <v>27</v>
      </c>
      <c r="M147" t="s">
        <v>18</v>
      </c>
      <c r="N147" s="37">
        <f>(Table10_1[[#This Row],[Likes]]+Table10_1[[#This Row],[Shares]]+Table10_1[[#This Row],[Comments]])/Table10_1[[#This Row],[Impressions]]</f>
        <v>7.1133744304476013E-2</v>
      </c>
    </row>
    <row r="148" spans="1:14" x14ac:dyDescent="0.25">
      <c r="A148" t="s">
        <v>195</v>
      </c>
      <c r="B148" t="s">
        <v>38</v>
      </c>
      <c r="C148" s="17">
        <v>45624</v>
      </c>
      <c r="D148" t="s">
        <v>20</v>
      </c>
      <c r="E148" t="s">
        <v>47</v>
      </c>
      <c r="F148">
        <v>4213</v>
      </c>
      <c r="G148">
        <v>253</v>
      </c>
      <c r="H148">
        <v>434</v>
      </c>
      <c r="I148">
        <v>75834</v>
      </c>
      <c r="J148">
        <v>75437</v>
      </c>
      <c r="K148">
        <v>272</v>
      </c>
      <c r="L148" t="s">
        <v>51</v>
      </c>
      <c r="M148" t="s">
        <v>34</v>
      </c>
      <c r="N148" s="37">
        <f>(Table10_1[[#This Row],[Likes]]+Table10_1[[#This Row],[Shares]]+Table10_1[[#This Row],[Comments]])/Table10_1[[#This Row],[Impressions]]</f>
        <v>6.461481657304112E-2</v>
      </c>
    </row>
    <row r="149" spans="1:14" x14ac:dyDescent="0.25">
      <c r="A149" t="s">
        <v>196</v>
      </c>
      <c r="B149" t="s">
        <v>30</v>
      </c>
      <c r="C149" s="17">
        <v>45484</v>
      </c>
      <c r="D149" t="s">
        <v>20</v>
      </c>
      <c r="E149" t="s">
        <v>82</v>
      </c>
      <c r="F149">
        <v>3134</v>
      </c>
      <c r="G149">
        <v>888</v>
      </c>
      <c r="H149">
        <v>444</v>
      </c>
      <c r="I149">
        <v>21938</v>
      </c>
      <c r="J149">
        <v>21337</v>
      </c>
      <c r="K149">
        <v>130</v>
      </c>
      <c r="L149" t="s">
        <v>33</v>
      </c>
      <c r="M149" t="s">
        <v>34</v>
      </c>
      <c r="N149" s="37">
        <f>(Table10_1[[#This Row],[Likes]]+Table10_1[[#This Row],[Shares]]+Table10_1[[#This Row],[Comments]])/Table10_1[[#This Row],[Impressions]]</f>
        <v>0.20357370772176134</v>
      </c>
    </row>
    <row r="150" spans="1:14" x14ac:dyDescent="0.25">
      <c r="A150" t="s">
        <v>197</v>
      </c>
      <c r="B150" t="s">
        <v>38</v>
      </c>
      <c r="C150" s="17">
        <v>45504</v>
      </c>
      <c r="D150" t="s">
        <v>59</v>
      </c>
      <c r="E150" t="s">
        <v>60</v>
      </c>
      <c r="F150">
        <v>3008</v>
      </c>
      <c r="G150">
        <v>94</v>
      </c>
      <c r="H150">
        <v>37</v>
      </c>
      <c r="I150">
        <v>15040</v>
      </c>
      <c r="J150">
        <v>14639</v>
      </c>
      <c r="K150">
        <v>277</v>
      </c>
      <c r="L150" t="s">
        <v>51</v>
      </c>
      <c r="N150" s="37">
        <f>(Table10_1[[#This Row],[Likes]]+Table10_1[[#This Row],[Shares]]+Table10_1[[#This Row],[Comments]])/Table10_1[[#This Row],[Impressions]]</f>
        <v>0.20871010638297871</v>
      </c>
    </row>
    <row r="151" spans="1:14" x14ac:dyDescent="0.25">
      <c r="A151" t="s">
        <v>198</v>
      </c>
      <c r="B151" t="s">
        <v>14</v>
      </c>
      <c r="C151" s="17">
        <v>45745</v>
      </c>
      <c r="D151" t="s">
        <v>44</v>
      </c>
      <c r="E151" t="s">
        <v>92</v>
      </c>
      <c r="F151">
        <v>305</v>
      </c>
      <c r="G151">
        <v>187</v>
      </c>
      <c r="H151">
        <v>243</v>
      </c>
      <c r="I151">
        <v>4575</v>
      </c>
      <c r="J151">
        <v>3704</v>
      </c>
      <c r="K151">
        <v>234</v>
      </c>
      <c r="L151" t="s">
        <v>51</v>
      </c>
      <c r="M151" t="s">
        <v>28</v>
      </c>
      <c r="N151" s="37">
        <f>(Table10_1[[#This Row],[Likes]]+Table10_1[[#This Row],[Shares]]+Table10_1[[#This Row],[Comments]])/Table10_1[[#This Row],[Impressions]]</f>
        <v>0.16065573770491803</v>
      </c>
    </row>
    <row r="152" spans="1:14" x14ac:dyDescent="0.25">
      <c r="A152" t="s">
        <v>199</v>
      </c>
      <c r="B152" t="s">
        <v>25</v>
      </c>
      <c r="C152" s="17">
        <v>45594</v>
      </c>
      <c r="D152" t="s">
        <v>20</v>
      </c>
      <c r="E152" t="s">
        <v>77</v>
      </c>
      <c r="F152">
        <v>2746</v>
      </c>
      <c r="G152">
        <v>156</v>
      </c>
      <c r="H152">
        <v>203</v>
      </c>
      <c r="I152">
        <v>32952</v>
      </c>
      <c r="J152">
        <v>32147</v>
      </c>
      <c r="K152">
        <v>147</v>
      </c>
      <c r="L152" t="s">
        <v>33</v>
      </c>
      <c r="M152" t="s">
        <v>18</v>
      </c>
      <c r="N152" s="37">
        <f>(Table10_1[[#This Row],[Likes]]+Table10_1[[#This Row],[Shares]]+Table10_1[[#This Row],[Comments]])/Table10_1[[#This Row],[Impressions]]</f>
        <v>9.422796795338674E-2</v>
      </c>
    </row>
    <row r="153" spans="1:14" x14ac:dyDescent="0.25">
      <c r="A153" t="s">
        <v>200</v>
      </c>
      <c r="B153" t="s">
        <v>38</v>
      </c>
      <c r="C153" s="17">
        <v>45488</v>
      </c>
      <c r="D153" t="s">
        <v>44</v>
      </c>
      <c r="E153" t="s">
        <v>49</v>
      </c>
      <c r="F153">
        <v>2291</v>
      </c>
      <c r="G153">
        <v>78</v>
      </c>
      <c r="H153">
        <v>485</v>
      </c>
      <c r="I153">
        <v>18328</v>
      </c>
      <c r="J153">
        <v>18101</v>
      </c>
      <c r="K153">
        <v>10</v>
      </c>
      <c r="L153" t="s">
        <v>33</v>
      </c>
      <c r="M153" t="s">
        <v>23</v>
      </c>
      <c r="N153" s="37">
        <f>(Table10_1[[#This Row],[Likes]]+Table10_1[[#This Row],[Shares]]+Table10_1[[#This Row],[Comments]])/Table10_1[[#This Row],[Impressions]]</f>
        <v>0.15571802706241816</v>
      </c>
    </row>
    <row r="154" spans="1:14" x14ac:dyDescent="0.25">
      <c r="A154" t="s">
        <v>200</v>
      </c>
      <c r="B154" t="s">
        <v>38</v>
      </c>
      <c r="C154" s="17">
        <v>45488</v>
      </c>
      <c r="D154" t="s">
        <v>44</v>
      </c>
      <c r="E154" t="s">
        <v>49</v>
      </c>
      <c r="F154">
        <v>2291</v>
      </c>
      <c r="G154">
        <v>78</v>
      </c>
      <c r="H154">
        <v>485</v>
      </c>
      <c r="I154">
        <v>18328</v>
      </c>
      <c r="J154">
        <v>18101</v>
      </c>
      <c r="K154">
        <v>10</v>
      </c>
      <c r="L154" t="s">
        <v>381</v>
      </c>
      <c r="M154" t="s">
        <v>23</v>
      </c>
      <c r="N154" s="37">
        <f>(Table10_1[[#This Row],[Likes]]+Table10_1[[#This Row],[Shares]]+Table10_1[[#This Row],[Comments]])/Table10_1[[#This Row],[Impressions]]</f>
        <v>0.15571802706241816</v>
      </c>
    </row>
    <row r="155" spans="1:14" x14ac:dyDescent="0.25">
      <c r="A155" t="s">
        <v>202</v>
      </c>
      <c r="B155" t="s">
        <v>14</v>
      </c>
      <c r="C155" s="17">
        <v>45535</v>
      </c>
      <c r="D155" t="s">
        <v>44</v>
      </c>
      <c r="E155" t="s">
        <v>92</v>
      </c>
      <c r="F155">
        <v>3170</v>
      </c>
      <c r="G155">
        <v>857</v>
      </c>
      <c r="H155">
        <v>379</v>
      </c>
      <c r="I155">
        <v>19020</v>
      </c>
      <c r="J155">
        <v>18559</v>
      </c>
      <c r="K155">
        <v>240</v>
      </c>
      <c r="L155" t="s">
        <v>51</v>
      </c>
      <c r="N155" s="37">
        <f>(Table10_1[[#This Row],[Likes]]+Table10_1[[#This Row],[Shares]]+Table10_1[[#This Row],[Comments]])/Table10_1[[#This Row],[Impressions]]</f>
        <v>0.2316508937960042</v>
      </c>
    </row>
    <row r="156" spans="1:14" x14ac:dyDescent="0.25">
      <c r="A156" t="s">
        <v>203</v>
      </c>
      <c r="B156" t="s">
        <v>25</v>
      </c>
      <c r="C156" s="17">
        <v>45741</v>
      </c>
      <c r="D156" t="s">
        <v>31</v>
      </c>
      <c r="E156" t="s">
        <v>105</v>
      </c>
      <c r="F156">
        <v>2070</v>
      </c>
      <c r="G156">
        <v>275</v>
      </c>
      <c r="H156">
        <v>386</v>
      </c>
      <c r="I156">
        <v>39330</v>
      </c>
      <c r="J156">
        <v>38627</v>
      </c>
      <c r="K156">
        <v>114</v>
      </c>
      <c r="L156" t="s">
        <v>51</v>
      </c>
      <c r="M156" t="s">
        <v>34</v>
      </c>
      <c r="N156" s="37">
        <f>(Table10_1[[#This Row],[Likes]]+Table10_1[[#This Row],[Shares]]+Table10_1[[#This Row],[Comments]])/Table10_1[[#This Row],[Impressions]]</f>
        <v>6.9438087973557078E-2</v>
      </c>
    </row>
    <row r="157" spans="1:14" x14ac:dyDescent="0.25">
      <c r="A157" t="s">
        <v>204</v>
      </c>
      <c r="B157" t="s">
        <v>25</v>
      </c>
      <c r="C157" s="17">
        <v>45567</v>
      </c>
      <c r="D157" t="s">
        <v>39</v>
      </c>
      <c r="E157" t="s">
        <v>55</v>
      </c>
      <c r="F157">
        <v>80</v>
      </c>
      <c r="G157">
        <v>362</v>
      </c>
      <c r="H157">
        <v>80</v>
      </c>
      <c r="I157">
        <v>1040</v>
      </c>
      <c r="J157">
        <v>349</v>
      </c>
      <c r="K157">
        <v>117</v>
      </c>
      <c r="L157" t="s">
        <v>27</v>
      </c>
      <c r="M157" t="s">
        <v>28</v>
      </c>
      <c r="N157" s="37">
        <f>(Table10_1[[#This Row],[Likes]]+Table10_1[[#This Row],[Shares]]+Table10_1[[#This Row],[Comments]])/Table10_1[[#This Row],[Impressions]]</f>
        <v>0.50192307692307692</v>
      </c>
    </row>
    <row r="158" spans="1:14" x14ac:dyDescent="0.25">
      <c r="A158" t="s">
        <v>205</v>
      </c>
      <c r="B158" t="s">
        <v>25</v>
      </c>
      <c r="C158" s="17">
        <v>45593</v>
      </c>
      <c r="D158" t="s">
        <v>31</v>
      </c>
      <c r="E158" t="s">
        <v>105</v>
      </c>
      <c r="F158">
        <v>4929</v>
      </c>
      <c r="G158">
        <v>749</v>
      </c>
      <c r="H158">
        <v>452</v>
      </c>
      <c r="I158">
        <v>93651</v>
      </c>
      <c r="J158">
        <v>92810</v>
      </c>
      <c r="K158">
        <v>66</v>
      </c>
      <c r="L158" t="s">
        <v>33</v>
      </c>
      <c r="M158" t="s">
        <v>34</v>
      </c>
      <c r="N158" s="37">
        <f>(Table10_1[[#This Row],[Likes]]+Table10_1[[#This Row],[Shares]]+Table10_1[[#This Row],[Comments]])/Table10_1[[#This Row],[Impressions]]</f>
        <v>6.5455787978772245E-2</v>
      </c>
    </row>
    <row r="159" spans="1:14" x14ac:dyDescent="0.25">
      <c r="A159" t="s">
        <v>206</v>
      </c>
      <c r="B159" t="s">
        <v>30</v>
      </c>
      <c r="C159" s="17">
        <v>45516</v>
      </c>
      <c r="D159" t="s">
        <v>39</v>
      </c>
      <c r="E159" t="s">
        <v>68</v>
      </c>
      <c r="F159">
        <v>1878</v>
      </c>
      <c r="G159">
        <v>62</v>
      </c>
      <c r="H159">
        <v>179</v>
      </c>
      <c r="I159">
        <v>37560</v>
      </c>
      <c r="J159">
        <v>36874</v>
      </c>
      <c r="K159">
        <v>142</v>
      </c>
      <c r="L159" t="s">
        <v>27</v>
      </c>
      <c r="M159" t="s">
        <v>34</v>
      </c>
      <c r="N159" s="37">
        <f>(Table10_1[[#This Row],[Likes]]+Table10_1[[#This Row],[Shares]]+Table10_1[[#This Row],[Comments]])/Table10_1[[#This Row],[Impressions]]</f>
        <v>5.6416400425985093E-2</v>
      </c>
    </row>
    <row r="160" spans="1:14" x14ac:dyDescent="0.25">
      <c r="A160" t="s">
        <v>207</v>
      </c>
      <c r="B160" t="s">
        <v>25</v>
      </c>
      <c r="C160" s="17">
        <v>45448</v>
      </c>
      <c r="D160" t="s">
        <v>15</v>
      </c>
      <c r="E160" t="s">
        <v>26</v>
      </c>
      <c r="F160">
        <v>3065</v>
      </c>
      <c r="G160">
        <v>772</v>
      </c>
      <c r="H160">
        <v>142</v>
      </c>
      <c r="I160">
        <v>18390</v>
      </c>
      <c r="J160">
        <v>17875</v>
      </c>
      <c r="K160">
        <v>200</v>
      </c>
      <c r="L160" t="s">
        <v>33</v>
      </c>
      <c r="N160" s="37">
        <f>(Table10_1[[#This Row],[Likes]]+Table10_1[[#This Row],[Shares]]+Table10_1[[#This Row],[Comments]])/Table10_1[[#This Row],[Impressions]]</f>
        <v>0.21636759108210984</v>
      </c>
    </row>
    <row r="161" spans="1:14" x14ac:dyDescent="0.25">
      <c r="A161" t="s">
        <v>207</v>
      </c>
      <c r="B161" t="s">
        <v>25</v>
      </c>
      <c r="C161" s="17">
        <v>45448</v>
      </c>
      <c r="D161" t="s">
        <v>15</v>
      </c>
      <c r="E161" t="s">
        <v>26</v>
      </c>
      <c r="F161">
        <v>3065</v>
      </c>
      <c r="G161">
        <v>772</v>
      </c>
      <c r="H161">
        <v>142</v>
      </c>
      <c r="I161">
        <v>18390</v>
      </c>
      <c r="J161">
        <v>17875</v>
      </c>
      <c r="K161">
        <v>200</v>
      </c>
      <c r="L161" t="s">
        <v>379</v>
      </c>
      <c r="N161" s="37">
        <f>(Table10_1[[#This Row],[Likes]]+Table10_1[[#This Row],[Shares]]+Table10_1[[#This Row],[Comments]])/Table10_1[[#This Row],[Impressions]]</f>
        <v>0.21636759108210984</v>
      </c>
    </row>
    <row r="162" spans="1:14" x14ac:dyDescent="0.25">
      <c r="A162" t="s">
        <v>209</v>
      </c>
      <c r="B162" t="s">
        <v>30</v>
      </c>
      <c r="C162" s="17">
        <v>45586</v>
      </c>
      <c r="D162" t="s">
        <v>15</v>
      </c>
      <c r="E162" t="s">
        <v>64</v>
      </c>
      <c r="F162">
        <v>3256</v>
      </c>
      <c r="G162">
        <v>459</v>
      </c>
      <c r="H162">
        <v>266</v>
      </c>
      <c r="I162">
        <v>26048</v>
      </c>
      <c r="J162">
        <v>25529</v>
      </c>
      <c r="K162">
        <v>143</v>
      </c>
      <c r="L162" t="s">
        <v>27</v>
      </c>
      <c r="M162" t="s">
        <v>23</v>
      </c>
      <c r="N162" s="37">
        <f>(Table10_1[[#This Row],[Likes]]+Table10_1[[#This Row],[Shares]]+Table10_1[[#This Row],[Comments]])/Table10_1[[#This Row],[Impressions]]</f>
        <v>0.15283323095823095</v>
      </c>
    </row>
    <row r="163" spans="1:14" x14ac:dyDescent="0.25">
      <c r="A163" t="s">
        <v>210</v>
      </c>
      <c r="B163" t="s">
        <v>30</v>
      </c>
      <c r="C163" s="17">
        <v>45762</v>
      </c>
      <c r="D163" t="s">
        <v>59</v>
      </c>
      <c r="E163" t="s">
        <v>66</v>
      </c>
      <c r="F163">
        <v>4133</v>
      </c>
      <c r="G163">
        <v>466</v>
      </c>
      <c r="H163">
        <v>327</v>
      </c>
      <c r="I163">
        <v>24798</v>
      </c>
      <c r="J163">
        <v>24620</v>
      </c>
      <c r="K163">
        <v>176</v>
      </c>
      <c r="L163" t="s">
        <v>33</v>
      </c>
      <c r="M163" t="s">
        <v>34</v>
      </c>
      <c r="N163" s="37">
        <f>(Table10_1[[#This Row],[Likes]]+Table10_1[[#This Row],[Shares]]+Table10_1[[#This Row],[Comments]])/Table10_1[[#This Row],[Impressions]]</f>
        <v>0.19864505202032423</v>
      </c>
    </row>
    <row r="164" spans="1:14" x14ac:dyDescent="0.25">
      <c r="A164" t="s">
        <v>211</v>
      </c>
      <c r="B164" t="s">
        <v>14</v>
      </c>
      <c r="C164" s="17">
        <v>45459</v>
      </c>
      <c r="D164" t="s">
        <v>59</v>
      </c>
      <c r="E164" t="s">
        <v>99</v>
      </c>
      <c r="F164">
        <v>1702</v>
      </c>
      <c r="G164">
        <v>750</v>
      </c>
      <c r="H164">
        <v>179</v>
      </c>
      <c r="I164">
        <v>34040</v>
      </c>
      <c r="J164">
        <v>33174</v>
      </c>
      <c r="K164">
        <v>76</v>
      </c>
      <c r="L164" t="s">
        <v>33</v>
      </c>
      <c r="M164" t="s">
        <v>18</v>
      </c>
      <c r="N164" s="37">
        <f>(Table10_1[[#This Row],[Likes]]+Table10_1[[#This Row],[Shares]]+Table10_1[[#This Row],[Comments]])/Table10_1[[#This Row],[Impressions]]</f>
        <v>7.7291421856639245E-2</v>
      </c>
    </row>
    <row r="165" spans="1:14" x14ac:dyDescent="0.25">
      <c r="A165" t="s">
        <v>212</v>
      </c>
      <c r="B165" t="s">
        <v>25</v>
      </c>
      <c r="C165" s="17">
        <v>45526</v>
      </c>
      <c r="D165" t="s">
        <v>39</v>
      </c>
      <c r="E165" t="s">
        <v>55</v>
      </c>
      <c r="F165">
        <v>4295</v>
      </c>
      <c r="G165">
        <v>853</v>
      </c>
      <c r="H165">
        <v>325</v>
      </c>
      <c r="I165">
        <v>85900</v>
      </c>
      <c r="J165">
        <v>85788</v>
      </c>
      <c r="K165">
        <v>290</v>
      </c>
      <c r="L165" t="s">
        <v>27</v>
      </c>
      <c r="M165" t="s">
        <v>34</v>
      </c>
      <c r="N165" s="37">
        <f>(Table10_1[[#This Row],[Likes]]+Table10_1[[#This Row],[Shares]]+Table10_1[[#This Row],[Comments]])/Table10_1[[#This Row],[Impressions]]</f>
        <v>6.3713620488940623E-2</v>
      </c>
    </row>
    <row r="166" spans="1:14" x14ac:dyDescent="0.25">
      <c r="A166" t="s">
        <v>213</v>
      </c>
      <c r="B166" t="s">
        <v>30</v>
      </c>
      <c r="C166" s="17">
        <v>45499</v>
      </c>
      <c r="D166" t="s">
        <v>44</v>
      </c>
      <c r="E166" t="s">
        <v>140</v>
      </c>
      <c r="F166">
        <v>3559</v>
      </c>
      <c r="G166">
        <v>59</v>
      </c>
      <c r="H166">
        <v>289</v>
      </c>
      <c r="I166">
        <v>35590</v>
      </c>
      <c r="J166">
        <v>35105</v>
      </c>
      <c r="K166">
        <v>122</v>
      </c>
      <c r="L166" t="s">
        <v>33</v>
      </c>
      <c r="M166" t="s">
        <v>18</v>
      </c>
      <c r="N166" s="37">
        <f>(Table10_1[[#This Row],[Likes]]+Table10_1[[#This Row],[Shares]]+Table10_1[[#This Row],[Comments]])/Table10_1[[#This Row],[Impressions]]</f>
        <v>0.10977802753582468</v>
      </c>
    </row>
    <row r="167" spans="1:14" x14ac:dyDescent="0.25">
      <c r="A167" t="s">
        <v>214</v>
      </c>
      <c r="B167" t="s">
        <v>38</v>
      </c>
      <c r="C167" s="17">
        <v>45769</v>
      </c>
      <c r="D167" t="s">
        <v>44</v>
      </c>
      <c r="E167" t="s">
        <v>49</v>
      </c>
      <c r="F167">
        <v>4804</v>
      </c>
      <c r="G167">
        <v>550</v>
      </c>
      <c r="H167">
        <v>270</v>
      </c>
      <c r="I167">
        <v>28824</v>
      </c>
      <c r="J167">
        <v>28370</v>
      </c>
      <c r="K167">
        <v>47</v>
      </c>
      <c r="L167" t="s">
        <v>33</v>
      </c>
      <c r="M167" t="s">
        <v>34</v>
      </c>
      <c r="N167" s="37">
        <f>(Table10_1[[#This Row],[Likes]]+Table10_1[[#This Row],[Shares]]+Table10_1[[#This Row],[Comments]])/Table10_1[[#This Row],[Impressions]]</f>
        <v>0.19511518179295032</v>
      </c>
    </row>
    <row r="168" spans="1:14" x14ac:dyDescent="0.25">
      <c r="A168" t="s">
        <v>215</v>
      </c>
      <c r="B168" t="s">
        <v>14</v>
      </c>
      <c r="C168" s="17">
        <v>45658</v>
      </c>
      <c r="D168" t="s">
        <v>59</v>
      </c>
      <c r="E168" t="s">
        <v>99</v>
      </c>
      <c r="F168">
        <v>754</v>
      </c>
      <c r="G168">
        <v>197</v>
      </c>
      <c r="H168">
        <v>257</v>
      </c>
      <c r="I168">
        <v>6786</v>
      </c>
      <c r="J168">
        <v>6221</v>
      </c>
      <c r="K168">
        <v>212</v>
      </c>
      <c r="L168" t="s">
        <v>27</v>
      </c>
      <c r="M168" t="s">
        <v>28</v>
      </c>
      <c r="N168" s="37">
        <f>(Table10_1[[#This Row],[Likes]]+Table10_1[[#This Row],[Shares]]+Table10_1[[#This Row],[Comments]])/Table10_1[[#This Row],[Impressions]]</f>
        <v>0.17801355732390214</v>
      </c>
    </row>
    <row r="169" spans="1:14" x14ac:dyDescent="0.25">
      <c r="A169" t="s">
        <v>216</v>
      </c>
      <c r="B169" t="s">
        <v>30</v>
      </c>
      <c r="C169" s="17">
        <v>45574</v>
      </c>
      <c r="D169" t="s">
        <v>39</v>
      </c>
      <c r="E169" t="s">
        <v>68</v>
      </c>
      <c r="F169">
        <v>985</v>
      </c>
      <c r="G169">
        <v>932</v>
      </c>
      <c r="H169">
        <v>287</v>
      </c>
      <c r="I169">
        <v>6895</v>
      </c>
      <c r="J169">
        <v>6757</v>
      </c>
      <c r="K169">
        <v>64</v>
      </c>
      <c r="L169" t="s">
        <v>51</v>
      </c>
      <c r="M169" t="s">
        <v>34</v>
      </c>
      <c r="N169" s="37">
        <f>(Table10_1[[#This Row],[Likes]]+Table10_1[[#This Row],[Shares]]+Table10_1[[#This Row],[Comments]])/Table10_1[[#This Row],[Impressions]]</f>
        <v>0.31965192168237855</v>
      </c>
    </row>
    <row r="170" spans="1:14" x14ac:dyDescent="0.25">
      <c r="A170" t="s">
        <v>217</v>
      </c>
      <c r="B170" t="s">
        <v>25</v>
      </c>
      <c r="C170" s="17">
        <v>45647</v>
      </c>
      <c r="D170" t="s">
        <v>44</v>
      </c>
      <c r="E170" t="s">
        <v>45</v>
      </c>
      <c r="F170">
        <v>2283</v>
      </c>
      <c r="G170">
        <v>210</v>
      </c>
      <c r="H170">
        <v>130</v>
      </c>
      <c r="I170">
        <v>22830</v>
      </c>
      <c r="J170">
        <v>22617</v>
      </c>
      <c r="K170">
        <v>143</v>
      </c>
      <c r="L170" t="s">
        <v>51</v>
      </c>
      <c r="M170" t="s">
        <v>23</v>
      </c>
      <c r="N170" s="37">
        <f>(Table10_1[[#This Row],[Likes]]+Table10_1[[#This Row],[Shares]]+Table10_1[[#This Row],[Comments]])/Table10_1[[#This Row],[Impressions]]</f>
        <v>0.11489268506351293</v>
      </c>
    </row>
    <row r="171" spans="1:14" x14ac:dyDescent="0.25">
      <c r="A171" t="s">
        <v>218</v>
      </c>
      <c r="B171" t="s">
        <v>38</v>
      </c>
      <c r="C171" s="17">
        <v>45587</v>
      </c>
      <c r="D171" t="s">
        <v>39</v>
      </c>
      <c r="E171" t="s">
        <v>40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51</v>
      </c>
      <c r="M171" t="s">
        <v>23</v>
      </c>
      <c r="N171" s="37">
        <f>(Table10_1[[#This Row],[Likes]]+Table10_1[[#This Row],[Shares]]+Table10_1[[#This Row],[Comments]])/Table10_1[[#This Row],[Impressions]]</f>
        <v>0.1095786671562328</v>
      </c>
    </row>
    <row r="172" spans="1:14" x14ac:dyDescent="0.25">
      <c r="A172" t="s">
        <v>219</v>
      </c>
      <c r="B172" t="s">
        <v>25</v>
      </c>
      <c r="C172" s="17">
        <v>45496</v>
      </c>
      <c r="D172" t="s">
        <v>31</v>
      </c>
      <c r="E172" t="s">
        <v>105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51</v>
      </c>
      <c r="M172" t="s">
        <v>23</v>
      </c>
      <c r="N172" s="37">
        <f>(Table10_1[[#This Row],[Likes]]+Table10_1[[#This Row],[Shares]]+Table10_1[[#This Row],[Comments]])/Table10_1[[#This Row],[Impressions]]</f>
        <v>0.10793717277486911</v>
      </c>
    </row>
    <row r="173" spans="1:14" x14ac:dyDescent="0.25">
      <c r="A173" t="s">
        <v>220</v>
      </c>
      <c r="B173" t="s">
        <v>30</v>
      </c>
      <c r="C173" s="17">
        <v>45515</v>
      </c>
      <c r="D173" t="s">
        <v>31</v>
      </c>
      <c r="E173" t="s">
        <v>32</v>
      </c>
      <c r="F173">
        <v>1762</v>
      </c>
      <c r="G173">
        <v>405</v>
      </c>
      <c r="H173">
        <v>423</v>
      </c>
      <c r="I173">
        <v>22906</v>
      </c>
      <c r="J173">
        <v>21925</v>
      </c>
      <c r="K173">
        <v>25</v>
      </c>
      <c r="L173" t="s">
        <v>27</v>
      </c>
      <c r="M173" t="s">
        <v>18</v>
      </c>
      <c r="N173" s="37">
        <f>(Table10_1[[#This Row],[Likes]]+Table10_1[[#This Row],[Shares]]+Table10_1[[#This Row],[Comments]])/Table10_1[[#This Row],[Impressions]]</f>
        <v>0.11307081114118571</v>
      </c>
    </row>
    <row r="174" spans="1:14" x14ac:dyDescent="0.25">
      <c r="A174" t="s">
        <v>221</v>
      </c>
      <c r="B174" t="s">
        <v>38</v>
      </c>
      <c r="C174" s="17">
        <v>45621</v>
      </c>
      <c r="D174" t="s">
        <v>31</v>
      </c>
      <c r="E174" t="s">
        <v>57</v>
      </c>
      <c r="F174">
        <v>2120</v>
      </c>
      <c r="G174">
        <v>158</v>
      </c>
      <c r="H174">
        <v>488</v>
      </c>
      <c r="I174">
        <v>12720</v>
      </c>
      <c r="J174">
        <v>12085</v>
      </c>
      <c r="K174">
        <v>17</v>
      </c>
      <c r="L174" t="s">
        <v>51</v>
      </c>
      <c r="M174" t="s">
        <v>23</v>
      </c>
      <c r="N174" s="37">
        <f>(Table10_1[[#This Row],[Likes]]+Table10_1[[#This Row],[Shares]]+Table10_1[[#This Row],[Comments]])/Table10_1[[#This Row],[Impressions]]</f>
        <v>0.21745283018867925</v>
      </c>
    </row>
    <row r="175" spans="1:14" x14ac:dyDescent="0.25">
      <c r="A175" t="s">
        <v>222</v>
      </c>
      <c r="B175" t="s">
        <v>14</v>
      </c>
      <c r="C175" s="17">
        <v>45528</v>
      </c>
      <c r="D175" t="s">
        <v>59</v>
      </c>
      <c r="E175" t="s">
        <v>99</v>
      </c>
      <c r="F175">
        <v>1082</v>
      </c>
      <c r="G175">
        <v>209</v>
      </c>
      <c r="H175">
        <v>484</v>
      </c>
      <c r="I175">
        <v>19476</v>
      </c>
      <c r="J175">
        <v>18654</v>
      </c>
      <c r="K175">
        <v>20</v>
      </c>
      <c r="L175" t="s">
        <v>27</v>
      </c>
      <c r="N175" s="37">
        <f>(Table10_1[[#This Row],[Likes]]+Table10_1[[#This Row],[Shares]]+Table10_1[[#This Row],[Comments]])/Table10_1[[#This Row],[Impressions]]</f>
        <v>9.1137810638734856E-2</v>
      </c>
    </row>
    <row r="176" spans="1:14" x14ac:dyDescent="0.25">
      <c r="A176" t="s">
        <v>223</v>
      </c>
      <c r="B176" t="s">
        <v>14</v>
      </c>
      <c r="C176" s="17">
        <v>45707</v>
      </c>
      <c r="D176" t="s">
        <v>20</v>
      </c>
      <c r="E176" t="s">
        <v>21</v>
      </c>
      <c r="F176">
        <v>4671</v>
      </c>
      <c r="G176">
        <v>876</v>
      </c>
      <c r="H176">
        <v>366</v>
      </c>
      <c r="I176">
        <v>51381</v>
      </c>
      <c r="J176">
        <v>50565</v>
      </c>
      <c r="K176">
        <v>245</v>
      </c>
      <c r="L176" t="s">
        <v>27</v>
      </c>
      <c r="M176" t="s">
        <v>34</v>
      </c>
      <c r="N176" s="37">
        <f>(Table10_1[[#This Row],[Likes]]+Table10_1[[#This Row],[Shares]]+Table10_1[[#This Row],[Comments]])/Table10_1[[#This Row],[Impressions]]</f>
        <v>0.11508145034156594</v>
      </c>
    </row>
    <row r="177" spans="1:14" x14ac:dyDescent="0.25">
      <c r="A177" t="s">
        <v>224</v>
      </c>
      <c r="B177" t="s">
        <v>38</v>
      </c>
      <c r="C177" s="17">
        <v>45748</v>
      </c>
      <c r="D177" t="s">
        <v>31</v>
      </c>
      <c r="E177" t="s">
        <v>57</v>
      </c>
      <c r="F177">
        <v>3430</v>
      </c>
      <c r="G177">
        <v>566</v>
      </c>
      <c r="H177">
        <v>164</v>
      </c>
      <c r="I177">
        <v>48020</v>
      </c>
      <c r="J177">
        <v>47305</v>
      </c>
      <c r="K177">
        <v>120</v>
      </c>
      <c r="L177" t="s">
        <v>51</v>
      </c>
      <c r="N177" s="37">
        <f>(Table10_1[[#This Row],[Likes]]+Table10_1[[#This Row],[Shares]]+Table10_1[[#This Row],[Comments]])/Table10_1[[#This Row],[Impressions]]</f>
        <v>8.6630570595585168E-2</v>
      </c>
    </row>
    <row r="178" spans="1:14" x14ac:dyDescent="0.25">
      <c r="A178" t="s">
        <v>225</v>
      </c>
      <c r="B178" t="s">
        <v>30</v>
      </c>
      <c r="C178" s="17">
        <v>45755</v>
      </c>
      <c r="D178" t="s">
        <v>44</v>
      </c>
      <c r="E178" t="s">
        <v>140</v>
      </c>
      <c r="F178">
        <v>4501</v>
      </c>
      <c r="G178">
        <v>375</v>
      </c>
      <c r="H178">
        <v>323</v>
      </c>
      <c r="I178">
        <v>22505</v>
      </c>
      <c r="J178">
        <v>21836</v>
      </c>
      <c r="K178">
        <v>132</v>
      </c>
      <c r="L178" t="s">
        <v>27</v>
      </c>
      <c r="M178" t="s">
        <v>23</v>
      </c>
      <c r="N178" s="37">
        <f>(Table10_1[[#This Row],[Likes]]+Table10_1[[#This Row],[Shares]]+Table10_1[[#This Row],[Comments]])/Table10_1[[#This Row],[Impressions]]</f>
        <v>0.23101532992668297</v>
      </c>
    </row>
    <row r="179" spans="1:14" x14ac:dyDescent="0.25">
      <c r="A179" t="s">
        <v>226</v>
      </c>
      <c r="B179" t="s">
        <v>25</v>
      </c>
      <c r="C179" s="17">
        <v>45715</v>
      </c>
      <c r="D179" t="s">
        <v>20</v>
      </c>
      <c r="E179" t="s">
        <v>77</v>
      </c>
      <c r="F179">
        <v>4934</v>
      </c>
      <c r="G179">
        <v>971</v>
      </c>
      <c r="H179">
        <v>156</v>
      </c>
      <c r="I179">
        <v>39472</v>
      </c>
      <c r="J179">
        <v>39025</v>
      </c>
      <c r="K179">
        <v>169</v>
      </c>
      <c r="L179" t="s">
        <v>27</v>
      </c>
      <c r="M179" t="s">
        <v>34</v>
      </c>
      <c r="N179" s="37">
        <f>(Table10_1[[#This Row],[Likes]]+Table10_1[[#This Row],[Shares]]+Table10_1[[#This Row],[Comments]])/Table10_1[[#This Row],[Impressions]]</f>
        <v>0.15355188488042157</v>
      </c>
    </row>
    <row r="180" spans="1:14" x14ac:dyDescent="0.25">
      <c r="A180" t="s">
        <v>226</v>
      </c>
      <c r="B180" t="s">
        <v>25</v>
      </c>
      <c r="C180" s="17">
        <v>45715</v>
      </c>
      <c r="D180" t="s">
        <v>20</v>
      </c>
      <c r="E180" t="s">
        <v>77</v>
      </c>
      <c r="F180">
        <v>4934</v>
      </c>
      <c r="G180">
        <v>971</v>
      </c>
      <c r="H180">
        <v>156</v>
      </c>
      <c r="I180">
        <v>39472</v>
      </c>
      <c r="J180">
        <v>39025</v>
      </c>
      <c r="K180">
        <v>169</v>
      </c>
      <c r="L180" t="s">
        <v>379</v>
      </c>
      <c r="M180" t="s">
        <v>34</v>
      </c>
      <c r="N180" s="37">
        <f>(Table10_1[[#This Row],[Likes]]+Table10_1[[#This Row],[Shares]]+Table10_1[[#This Row],[Comments]])/Table10_1[[#This Row],[Impressions]]</f>
        <v>0.15355188488042157</v>
      </c>
    </row>
    <row r="181" spans="1:14" x14ac:dyDescent="0.25">
      <c r="A181" t="s">
        <v>227</v>
      </c>
      <c r="B181" t="s">
        <v>14</v>
      </c>
      <c r="C181" s="17">
        <v>45637</v>
      </c>
      <c r="D181" t="s">
        <v>20</v>
      </c>
      <c r="E181" t="s">
        <v>21</v>
      </c>
      <c r="F181">
        <v>3239</v>
      </c>
      <c r="G181">
        <v>43</v>
      </c>
      <c r="H181">
        <v>211</v>
      </c>
      <c r="I181">
        <v>22673</v>
      </c>
      <c r="J181">
        <v>22171</v>
      </c>
      <c r="K181">
        <v>230</v>
      </c>
      <c r="L181" t="s">
        <v>27</v>
      </c>
      <c r="M181" t="s">
        <v>23</v>
      </c>
      <c r="N181" s="37">
        <f>(Table10_1[[#This Row],[Likes]]+Table10_1[[#This Row],[Shares]]+Table10_1[[#This Row],[Comments]])/Table10_1[[#This Row],[Impressions]]</f>
        <v>0.15405989502933004</v>
      </c>
    </row>
    <row r="182" spans="1:14" x14ac:dyDescent="0.25">
      <c r="A182" t="s">
        <v>228</v>
      </c>
      <c r="B182" t="s">
        <v>14</v>
      </c>
      <c r="C182" s="17">
        <v>45704</v>
      </c>
      <c r="D182" t="s">
        <v>15</v>
      </c>
      <c r="E182" t="s">
        <v>16</v>
      </c>
      <c r="F182">
        <v>1076</v>
      </c>
      <c r="G182">
        <v>313</v>
      </c>
      <c r="H182">
        <v>306</v>
      </c>
      <c r="I182">
        <v>11836</v>
      </c>
      <c r="J182">
        <v>11596</v>
      </c>
      <c r="K182">
        <v>104</v>
      </c>
      <c r="L182" t="s">
        <v>51</v>
      </c>
      <c r="M182" t="s">
        <v>18</v>
      </c>
      <c r="N182" s="37">
        <f>(Table10_1[[#This Row],[Likes]]+Table10_1[[#This Row],[Shares]]+Table10_1[[#This Row],[Comments]])/Table10_1[[#This Row],[Impressions]]</f>
        <v>0.14320716458262928</v>
      </c>
    </row>
    <row r="183" spans="1:14" x14ac:dyDescent="0.25">
      <c r="A183" t="s">
        <v>229</v>
      </c>
      <c r="B183" t="s">
        <v>30</v>
      </c>
      <c r="C183" s="17">
        <v>45624</v>
      </c>
      <c r="D183" t="s">
        <v>20</v>
      </c>
      <c r="E183" t="s">
        <v>82</v>
      </c>
      <c r="F183">
        <v>4771</v>
      </c>
      <c r="G183">
        <v>818</v>
      </c>
      <c r="H183">
        <v>56</v>
      </c>
      <c r="I183">
        <v>57252</v>
      </c>
      <c r="J183">
        <v>56378</v>
      </c>
      <c r="K183">
        <v>150</v>
      </c>
      <c r="L183" t="s">
        <v>51</v>
      </c>
      <c r="N183" s="37">
        <f>(Table10_1[[#This Row],[Likes]]+Table10_1[[#This Row],[Shares]]+Table10_1[[#This Row],[Comments]])/Table10_1[[#This Row],[Impressions]]</f>
        <v>9.859917557465242E-2</v>
      </c>
    </row>
    <row r="184" spans="1:14" x14ac:dyDescent="0.25">
      <c r="A184" t="s">
        <v>230</v>
      </c>
      <c r="B184" t="s">
        <v>38</v>
      </c>
      <c r="C184" s="17">
        <v>45608</v>
      </c>
      <c r="D184" t="s">
        <v>20</v>
      </c>
      <c r="E184" t="s">
        <v>47</v>
      </c>
      <c r="F184">
        <v>2418</v>
      </c>
      <c r="G184">
        <v>754</v>
      </c>
      <c r="H184">
        <v>54</v>
      </c>
      <c r="I184">
        <v>43524</v>
      </c>
      <c r="J184">
        <v>42743</v>
      </c>
      <c r="K184">
        <v>182</v>
      </c>
      <c r="L184" t="s">
        <v>33</v>
      </c>
      <c r="M184" t="s">
        <v>18</v>
      </c>
      <c r="N184" s="37">
        <f>(Table10_1[[#This Row],[Likes]]+Table10_1[[#This Row],[Shares]]+Table10_1[[#This Row],[Comments]])/Table10_1[[#This Row],[Impressions]]</f>
        <v>7.412002573292896E-2</v>
      </c>
    </row>
    <row r="185" spans="1:14" x14ac:dyDescent="0.25">
      <c r="A185" t="s">
        <v>231</v>
      </c>
      <c r="B185" t="s">
        <v>25</v>
      </c>
      <c r="C185" s="17">
        <v>45629</v>
      </c>
      <c r="D185" t="s">
        <v>59</v>
      </c>
      <c r="E185" t="s">
        <v>143</v>
      </c>
      <c r="F185">
        <v>3809</v>
      </c>
      <c r="G185">
        <v>273</v>
      </c>
      <c r="H185">
        <v>200</v>
      </c>
      <c r="I185">
        <v>34281</v>
      </c>
      <c r="J185">
        <v>33534</v>
      </c>
      <c r="K185">
        <v>83</v>
      </c>
      <c r="L185" t="s">
        <v>33</v>
      </c>
      <c r="M185" t="s">
        <v>18</v>
      </c>
      <c r="N185" s="37">
        <f>(Table10_1[[#This Row],[Likes]]+Table10_1[[#This Row],[Shares]]+Table10_1[[#This Row],[Comments]])/Table10_1[[#This Row],[Impressions]]</f>
        <v>0.12490884163239112</v>
      </c>
    </row>
    <row r="186" spans="1:14" x14ac:dyDescent="0.25">
      <c r="A186" t="s">
        <v>232</v>
      </c>
      <c r="B186" t="s">
        <v>14</v>
      </c>
      <c r="C186" s="17">
        <v>45775</v>
      </c>
      <c r="D186" t="s">
        <v>20</v>
      </c>
      <c r="E186" t="s">
        <v>21</v>
      </c>
      <c r="F186">
        <v>3577</v>
      </c>
      <c r="G186">
        <v>596</v>
      </c>
      <c r="H186">
        <v>493</v>
      </c>
      <c r="I186">
        <v>67963</v>
      </c>
      <c r="J186">
        <v>67839</v>
      </c>
      <c r="K186">
        <v>53</v>
      </c>
      <c r="L186" t="s">
        <v>27</v>
      </c>
      <c r="M186" t="s">
        <v>28</v>
      </c>
      <c r="N186" s="37">
        <f>(Table10_1[[#This Row],[Likes]]+Table10_1[[#This Row],[Shares]]+Table10_1[[#This Row],[Comments]])/Table10_1[[#This Row],[Impressions]]</f>
        <v>6.8655003457763777E-2</v>
      </c>
    </row>
    <row r="187" spans="1:14" x14ac:dyDescent="0.25">
      <c r="A187" t="s">
        <v>233</v>
      </c>
      <c r="B187" t="s">
        <v>25</v>
      </c>
      <c r="C187" s="17">
        <v>45657</v>
      </c>
      <c r="D187" t="s">
        <v>59</v>
      </c>
      <c r="E187" t="s">
        <v>143</v>
      </c>
      <c r="F187">
        <v>1018</v>
      </c>
      <c r="G187">
        <v>447</v>
      </c>
      <c r="H187">
        <v>332</v>
      </c>
      <c r="I187">
        <v>18324</v>
      </c>
      <c r="J187">
        <v>18164</v>
      </c>
      <c r="K187">
        <v>38</v>
      </c>
      <c r="L187" t="s">
        <v>51</v>
      </c>
      <c r="M187" t="s">
        <v>23</v>
      </c>
      <c r="N187" s="37">
        <f>(Table10_1[[#This Row],[Likes]]+Table10_1[[#This Row],[Shares]]+Table10_1[[#This Row],[Comments]])/Table10_1[[#This Row],[Impressions]]</f>
        <v>9.8068107400130972E-2</v>
      </c>
    </row>
    <row r="188" spans="1:14" x14ac:dyDescent="0.25">
      <c r="A188" t="s">
        <v>234</v>
      </c>
      <c r="B188" t="s">
        <v>38</v>
      </c>
      <c r="C188" s="17">
        <v>45518</v>
      </c>
      <c r="D188" t="s">
        <v>39</v>
      </c>
      <c r="E188" t="s">
        <v>40</v>
      </c>
      <c r="F188">
        <v>3073</v>
      </c>
      <c r="G188">
        <v>553</v>
      </c>
      <c r="H188">
        <v>174</v>
      </c>
      <c r="I188">
        <v>52241</v>
      </c>
      <c r="J188">
        <v>51605</v>
      </c>
      <c r="K188">
        <v>246</v>
      </c>
      <c r="L188" t="s">
        <v>33</v>
      </c>
      <c r="M188" t="s">
        <v>28</v>
      </c>
      <c r="N188" s="37">
        <f>(Table10_1[[#This Row],[Likes]]+Table10_1[[#This Row],[Shares]]+Table10_1[[#This Row],[Comments]])/Table10_1[[#This Row],[Impressions]]</f>
        <v>7.2739802071170159E-2</v>
      </c>
    </row>
    <row r="189" spans="1:14" x14ac:dyDescent="0.25">
      <c r="A189" t="s">
        <v>235</v>
      </c>
      <c r="B189" t="s">
        <v>14</v>
      </c>
      <c r="C189" s="17">
        <v>45631</v>
      </c>
      <c r="D189" t="s">
        <v>59</v>
      </c>
      <c r="E189" t="s">
        <v>99</v>
      </c>
      <c r="F189">
        <v>1330</v>
      </c>
      <c r="G189">
        <v>925</v>
      </c>
      <c r="H189">
        <v>35</v>
      </c>
      <c r="I189">
        <v>15960</v>
      </c>
      <c r="J189">
        <v>15379</v>
      </c>
      <c r="K189">
        <v>229</v>
      </c>
      <c r="L189" t="s">
        <v>51</v>
      </c>
      <c r="M189" t="s">
        <v>28</v>
      </c>
      <c r="N189" s="37">
        <f>(Table10_1[[#This Row],[Likes]]+Table10_1[[#This Row],[Shares]]+Table10_1[[#This Row],[Comments]])/Table10_1[[#This Row],[Impressions]]</f>
        <v>0.14348370927318296</v>
      </c>
    </row>
    <row r="190" spans="1:14" x14ac:dyDescent="0.25">
      <c r="A190" t="s">
        <v>236</v>
      </c>
      <c r="B190" t="s">
        <v>38</v>
      </c>
      <c r="C190" s="17">
        <v>45465</v>
      </c>
      <c r="D190" t="s">
        <v>20</v>
      </c>
      <c r="E190" t="s">
        <v>47</v>
      </c>
      <c r="F190">
        <v>3828</v>
      </c>
      <c r="G190">
        <v>148</v>
      </c>
      <c r="H190">
        <v>253</v>
      </c>
      <c r="I190">
        <v>30624</v>
      </c>
      <c r="J190">
        <v>30229</v>
      </c>
      <c r="K190">
        <v>235</v>
      </c>
      <c r="L190" t="s">
        <v>33</v>
      </c>
      <c r="N190" s="37">
        <f>(Table10_1[[#This Row],[Likes]]+Table10_1[[#This Row],[Shares]]+Table10_1[[#This Row],[Comments]])/Table10_1[[#This Row],[Impressions]]</f>
        <v>0.13809430512016718</v>
      </c>
    </row>
    <row r="191" spans="1:14" x14ac:dyDescent="0.25">
      <c r="A191" t="s">
        <v>237</v>
      </c>
      <c r="B191" t="s">
        <v>30</v>
      </c>
      <c r="C191" s="17">
        <v>45674</v>
      </c>
      <c r="D191" t="s">
        <v>15</v>
      </c>
      <c r="E191" t="s">
        <v>64</v>
      </c>
      <c r="F191">
        <v>142</v>
      </c>
      <c r="G191">
        <v>784</v>
      </c>
      <c r="H191">
        <v>183</v>
      </c>
      <c r="I191">
        <v>1704</v>
      </c>
      <c r="J191">
        <v>995</v>
      </c>
      <c r="K191">
        <v>154</v>
      </c>
      <c r="L191" t="s">
        <v>51</v>
      </c>
      <c r="M191" t="s">
        <v>34</v>
      </c>
      <c r="N191" s="37">
        <f>(Table10_1[[#This Row],[Likes]]+Table10_1[[#This Row],[Shares]]+Table10_1[[#This Row],[Comments]])/Table10_1[[#This Row],[Impressions]]</f>
        <v>0.6508215962441315</v>
      </c>
    </row>
    <row r="192" spans="1:14" x14ac:dyDescent="0.25">
      <c r="A192" t="s">
        <v>238</v>
      </c>
      <c r="B192" t="s">
        <v>38</v>
      </c>
      <c r="C192" s="17">
        <v>45463</v>
      </c>
      <c r="D192" t="s">
        <v>59</v>
      </c>
      <c r="E192" t="s">
        <v>60</v>
      </c>
      <c r="F192">
        <v>3798</v>
      </c>
      <c r="G192">
        <v>31</v>
      </c>
      <c r="H192">
        <v>279</v>
      </c>
      <c r="I192">
        <v>75960</v>
      </c>
      <c r="J192">
        <v>75813</v>
      </c>
      <c r="K192">
        <v>266</v>
      </c>
      <c r="L192" t="s">
        <v>27</v>
      </c>
      <c r="M192" t="s">
        <v>18</v>
      </c>
      <c r="N192" s="37">
        <f>(Table10_1[[#This Row],[Likes]]+Table10_1[[#This Row],[Shares]]+Table10_1[[#This Row],[Comments]])/Table10_1[[#This Row],[Impressions]]</f>
        <v>5.4081095313322801E-2</v>
      </c>
    </row>
    <row r="193" spans="1:14" x14ac:dyDescent="0.25">
      <c r="A193" t="s">
        <v>239</v>
      </c>
      <c r="B193" t="s">
        <v>30</v>
      </c>
      <c r="C193" s="17">
        <v>45483</v>
      </c>
      <c r="D193" t="s">
        <v>39</v>
      </c>
      <c r="E193" t="s">
        <v>68</v>
      </c>
      <c r="F193">
        <v>3099</v>
      </c>
      <c r="G193">
        <v>694</v>
      </c>
      <c r="H193">
        <v>171</v>
      </c>
      <c r="I193">
        <v>43386</v>
      </c>
      <c r="J193">
        <v>42921</v>
      </c>
      <c r="K193">
        <v>52</v>
      </c>
      <c r="L193" t="s">
        <v>27</v>
      </c>
      <c r="M193" t="s">
        <v>28</v>
      </c>
      <c r="N193" s="37">
        <f>(Table10_1[[#This Row],[Likes]]+Table10_1[[#This Row],[Shares]]+Table10_1[[#This Row],[Comments]])/Table10_1[[#This Row],[Impressions]]</f>
        <v>9.1365878393951966E-2</v>
      </c>
    </row>
    <row r="194" spans="1:14" x14ac:dyDescent="0.25">
      <c r="A194" t="s">
        <v>240</v>
      </c>
      <c r="B194" t="s">
        <v>30</v>
      </c>
      <c r="C194" s="17">
        <v>45603</v>
      </c>
      <c r="D194" t="s">
        <v>59</v>
      </c>
      <c r="E194" t="s">
        <v>66</v>
      </c>
      <c r="F194">
        <v>129</v>
      </c>
      <c r="G194">
        <v>643</v>
      </c>
      <c r="H194">
        <v>136</v>
      </c>
      <c r="I194">
        <v>1290</v>
      </c>
      <c r="J194">
        <v>839</v>
      </c>
      <c r="K194">
        <v>238</v>
      </c>
      <c r="L194" t="s">
        <v>27</v>
      </c>
      <c r="M194" t="s">
        <v>34</v>
      </c>
      <c r="N194" s="37">
        <f>(Table10_1[[#This Row],[Likes]]+Table10_1[[#This Row],[Shares]]+Table10_1[[#This Row],[Comments]])/Table10_1[[#This Row],[Impressions]]</f>
        <v>0.70387596899224802</v>
      </c>
    </row>
    <row r="195" spans="1:14" x14ac:dyDescent="0.25">
      <c r="A195" t="s">
        <v>241</v>
      </c>
      <c r="B195" t="s">
        <v>38</v>
      </c>
      <c r="C195" s="17">
        <v>45488</v>
      </c>
      <c r="D195" t="s">
        <v>39</v>
      </c>
      <c r="E195" t="s">
        <v>40</v>
      </c>
      <c r="F195">
        <v>3796</v>
      </c>
      <c r="G195">
        <v>667</v>
      </c>
      <c r="H195">
        <v>395</v>
      </c>
      <c r="I195">
        <v>64532</v>
      </c>
      <c r="J195">
        <v>63550</v>
      </c>
      <c r="K195">
        <v>292</v>
      </c>
      <c r="L195" t="s">
        <v>27</v>
      </c>
      <c r="N195" s="37">
        <f>(Table10_1[[#This Row],[Likes]]+Table10_1[[#This Row],[Shares]]+Table10_1[[#This Row],[Comments]])/Table10_1[[#This Row],[Impressions]]</f>
        <v>7.5280481001673588E-2</v>
      </c>
    </row>
    <row r="196" spans="1:14" x14ac:dyDescent="0.25">
      <c r="A196" t="s">
        <v>242</v>
      </c>
      <c r="B196" t="s">
        <v>25</v>
      </c>
      <c r="C196" s="17">
        <v>45629</v>
      </c>
      <c r="D196" t="s">
        <v>20</v>
      </c>
      <c r="E196" t="s">
        <v>77</v>
      </c>
      <c r="F196">
        <v>3711</v>
      </c>
      <c r="G196">
        <v>352</v>
      </c>
      <c r="H196">
        <v>290</v>
      </c>
      <c r="I196">
        <v>48243</v>
      </c>
      <c r="J196">
        <v>47579</v>
      </c>
      <c r="K196">
        <v>11</v>
      </c>
      <c r="L196" t="s">
        <v>27</v>
      </c>
      <c r="M196" t="s">
        <v>18</v>
      </c>
      <c r="N196" s="37">
        <f>(Table10_1[[#This Row],[Likes]]+Table10_1[[#This Row],[Shares]]+Table10_1[[#This Row],[Comments]])/Table10_1[[#This Row],[Impressions]]</f>
        <v>9.023070704558174E-2</v>
      </c>
    </row>
    <row r="197" spans="1:14" x14ac:dyDescent="0.25">
      <c r="A197" t="s">
        <v>243</v>
      </c>
      <c r="B197" t="s">
        <v>25</v>
      </c>
      <c r="C197" s="17">
        <v>45737</v>
      </c>
      <c r="D197" t="s">
        <v>44</v>
      </c>
      <c r="E197" t="s">
        <v>45</v>
      </c>
      <c r="F197">
        <v>606</v>
      </c>
      <c r="G197">
        <v>789</v>
      </c>
      <c r="H197">
        <v>470</v>
      </c>
      <c r="I197">
        <v>7878</v>
      </c>
      <c r="J197">
        <v>7389</v>
      </c>
      <c r="K197">
        <v>239</v>
      </c>
      <c r="L197" t="s">
        <v>33</v>
      </c>
      <c r="M197" t="s">
        <v>28</v>
      </c>
      <c r="N197" s="37">
        <f>(Table10_1[[#This Row],[Likes]]+Table10_1[[#This Row],[Shares]]+Table10_1[[#This Row],[Comments]])/Table10_1[[#This Row],[Impressions]]</f>
        <v>0.23673521198273673</v>
      </c>
    </row>
    <row r="198" spans="1:14" x14ac:dyDescent="0.25">
      <c r="A198" t="s">
        <v>244</v>
      </c>
      <c r="B198" t="s">
        <v>38</v>
      </c>
      <c r="C198" s="17">
        <v>45504</v>
      </c>
      <c r="D198" t="s">
        <v>44</v>
      </c>
      <c r="E198" t="s">
        <v>49</v>
      </c>
      <c r="F198">
        <v>4689</v>
      </c>
      <c r="G198">
        <v>134</v>
      </c>
      <c r="H198">
        <v>403</v>
      </c>
      <c r="I198">
        <v>51579</v>
      </c>
      <c r="J198">
        <v>50924</v>
      </c>
      <c r="K198">
        <v>173</v>
      </c>
      <c r="L198" t="s">
        <v>27</v>
      </c>
      <c r="M198" t="s">
        <v>34</v>
      </c>
      <c r="N198" s="37">
        <f>(Table10_1[[#This Row],[Likes]]+Table10_1[[#This Row],[Shares]]+Table10_1[[#This Row],[Comments]])/Table10_1[[#This Row],[Impressions]]</f>
        <v>0.10132030477519921</v>
      </c>
    </row>
    <row r="199" spans="1:14" x14ac:dyDescent="0.25">
      <c r="A199" t="s">
        <v>245</v>
      </c>
      <c r="B199" t="s">
        <v>30</v>
      </c>
      <c r="C199" s="17">
        <v>45643</v>
      </c>
      <c r="D199" t="s">
        <v>31</v>
      </c>
      <c r="E199" t="s">
        <v>32</v>
      </c>
      <c r="F199">
        <v>360</v>
      </c>
      <c r="G199">
        <v>590</v>
      </c>
      <c r="H199">
        <v>393</v>
      </c>
      <c r="I199">
        <v>4680</v>
      </c>
      <c r="J199">
        <v>4322</v>
      </c>
      <c r="K199">
        <v>208</v>
      </c>
      <c r="L199" t="s">
        <v>51</v>
      </c>
      <c r="M199" t="s">
        <v>23</v>
      </c>
      <c r="N199" s="37">
        <f>(Table10_1[[#This Row],[Likes]]+Table10_1[[#This Row],[Shares]]+Table10_1[[#This Row],[Comments]])/Table10_1[[#This Row],[Impressions]]</f>
        <v>0.28696581196581195</v>
      </c>
    </row>
    <row r="200" spans="1:14" x14ac:dyDescent="0.25">
      <c r="A200" t="s">
        <v>246</v>
      </c>
      <c r="B200" t="s">
        <v>14</v>
      </c>
      <c r="C200" s="17">
        <v>45501</v>
      </c>
      <c r="D200" t="s">
        <v>44</v>
      </c>
      <c r="E200" t="s">
        <v>92</v>
      </c>
      <c r="F200">
        <v>3215</v>
      </c>
      <c r="G200">
        <v>960</v>
      </c>
      <c r="H200">
        <v>202</v>
      </c>
      <c r="I200">
        <v>32150</v>
      </c>
      <c r="J200">
        <v>31404</v>
      </c>
      <c r="K200">
        <v>251</v>
      </c>
      <c r="L200" t="s">
        <v>33</v>
      </c>
      <c r="M200" t="s">
        <v>18</v>
      </c>
      <c r="N200" s="37">
        <f>(Table10_1[[#This Row],[Likes]]+Table10_1[[#This Row],[Shares]]+Table10_1[[#This Row],[Comments]])/Table10_1[[#This Row],[Impressions]]</f>
        <v>0.13614307931570763</v>
      </c>
    </row>
    <row r="201" spans="1:14" x14ac:dyDescent="0.25">
      <c r="A201" t="s">
        <v>247</v>
      </c>
      <c r="B201" t="s">
        <v>30</v>
      </c>
      <c r="C201" s="17">
        <v>45668</v>
      </c>
      <c r="D201" t="s">
        <v>39</v>
      </c>
      <c r="E201" t="s">
        <v>68</v>
      </c>
      <c r="F201">
        <v>4523</v>
      </c>
      <c r="G201">
        <v>61</v>
      </c>
      <c r="H201">
        <v>157</v>
      </c>
      <c r="I201">
        <v>49753</v>
      </c>
      <c r="J201">
        <v>49329</v>
      </c>
      <c r="K201">
        <v>71</v>
      </c>
      <c r="L201" t="s">
        <v>33</v>
      </c>
      <c r="N201" s="37">
        <f>(Table10_1[[#This Row],[Likes]]+Table10_1[[#This Row],[Shares]]+Table10_1[[#This Row],[Comments]])/Table10_1[[#This Row],[Impressions]]</f>
        <v>9.5290736237010829E-2</v>
      </c>
    </row>
    <row r="202" spans="1:14" x14ac:dyDescent="0.25">
      <c r="A202" t="s">
        <v>248</v>
      </c>
      <c r="B202" t="s">
        <v>38</v>
      </c>
      <c r="C202" s="17">
        <v>45528</v>
      </c>
      <c r="D202" t="s">
        <v>39</v>
      </c>
      <c r="E202" t="s">
        <v>40</v>
      </c>
      <c r="F202">
        <v>4292</v>
      </c>
      <c r="G202">
        <v>51</v>
      </c>
      <c r="H202">
        <v>392</v>
      </c>
      <c r="I202">
        <v>55796</v>
      </c>
      <c r="J202">
        <v>54826</v>
      </c>
      <c r="K202">
        <v>264</v>
      </c>
      <c r="L202" t="s">
        <v>33</v>
      </c>
      <c r="M202" t="s">
        <v>28</v>
      </c>
      <c r="N202" s="37">
        <f>(Table10_1[[#This Row],[Likes]]+Table10_1[[#This Row],[Shares]]+Table10_1[[#This Row],[Comments]])/Table10_1[[#This Row],[Impressions]]</f>
        <v>8.4862714173059003E-2</v>
      </c>
    </row>
    <row r="203" spans="1:14" x14ac:dyDescent="0.25">
      <c r="A203" t="s">
        <v>249</v>
      </c>
      <c r="B203" t="s">
        <v>14</v>
      </c>
      <c r="C203" s="17">
        <v>45648</v>
      </c>
      <c r="D203" t="s">
        <v>15</v>
      </c>
      <c r="E203" t="s">
        <v>16</v>
      </c>
      <c r="F203">
        <v>1644</v>
      </c>
      <c r="G203">
        <v>546</v>
      </c>
      <c r="H203">
        <v>150</v>
      </c>
      <c r="I203">
        <v>27948</v>
      </c>
      <c r="J203">
        <v>27184</v>
      </c>
      <c r="K203">
        <v>300</v>
      </c>
      <c r="L203" t="s">
        <v>33</v>
      </c>
      <c r="M203" t="s">
        <v>28</v>
      </c>
      <c r="N203" s="37">
        <f>(Table10_1[[#This Row],[Likes]]+Table10_1[[#This Row],[Shares]]+Table10_1[[#This Row],[Comments]])/Table10_1[[#This Row],[Impressions]]</f>
        <v>8.3726921425504502E-2</v>
      </c>
    </row>
    <row r="204" spans="1:14" x14ac:dyDescent="0.25">
      <c r="A204" t="s">
        <v>250</v>
      </c>
      <c r="B204" t="s">
        <v>25</v>
      </c>
      <c r="C204" s="17">
        <v>45449</v>
      </c>
      <c r="D204" t="s">
        <v>15</v>
      </c>
      <c r="E204" t="s">
        <v>26</v>
      </c>
      <c r="F204">
        <v>2728</v>
      </c>
      <c r="G204">
        <v>533</v>
      </c>
      <c r="H204">
        <v>215</v>
      </c>
      <c r="I204">
        <v>40920</v>
      </c>
      <c r="J204">
        <v>40816</v>
      </c>
      <c r="K204">
        <v>137</v>
      </c>
      <c r="L204" t="s">
        <v>51</v>
      </c>
      <c r="M204" t="s">
        <v>23</v>
      </c>
      <c r="N204" s="37">
        <f>(Table10_1[[#This Row],[Likes]]+Table10_1[[#This Row],[Shares]]+Table10_1[[#This Row],[Comments]])/Table10_1[[#This Row],[Impressions]]</f>
        <v>8.4946236559139784E-2</v>
      </c>
    </row>
    <row r="205" spans="1:14" x14ac:dyDescent="0.25">
      <c r="A205" t="s">
        <v>251</v>
      </c>
      <c r="B205" t="s">
        <v>38</v>
      </c>
      <c r="C205" s="17">
        <v>45740</v>
      </c>
      <c r="D205" t="s">
        <v>15</v>
      </c>
      <c r="E205" t="s">
        <v>53</v>
      </c>
      <c r="F205">
        <v>3360</v>
      </c>
      <c r="G205">
        <v>525</v>
      </c>
      <c r="H205">
        <v>500</v>
      </c>
      <c r="I205">
        <v>60480</v>
      </c>
      <c r="J205">
        <v>59610</v>
      </c>
      <c r="K205">
        <v>192</v>
      </c>
      <c r="L205" t="s">
        <v>27</v>
      </c>
      <c r="M205" t="s">
        <v>18</v>
      </c>
      <c r="N205" s="37">
        <f>(Table10_1[[#This Row],[Likes]]+Table10_1[[#This Row],[Shares]]+Table10_1[[#This Row],[Comments]])/Table10_1[[#This Row],[Impressions]]</f>
        <v>7.2503306878306875E-2</v>
      </c>
    </row>
    <row r="206" spans="1:14" x14ac:dyDescent="0.25">
      <c r="A206" t="s">
        <v>252</v>
      </c>
      <c r="B206" t="s">
        <v>25</v>
      </c>
      <c r="C206" s="17">
        <v>45569</v>
      </c>
      <c r="D206" t="s">
        <v>20</v>
      </c>
      <c r="E206" t="s">
        <v>77</v>
      </c>
      <c r="F206">
        <v>1963</v>
      </c>
      <c r="G206">
        <v>213</v>
      </c>
      <c r="H206">
        <v>19</v>
      </c>
      <c r="I206">
        <v>39260</v>
      </c>
      <c r="J206">
        <v>38771</v>
      </c>
      <c r="K206">
        <v>145</v>
      </c>
      <c r="L206" t="s">
        <v>51</v>
      </c>
      <c r="N206" s="37">
        <f>(Table10_1[[#This Row],[Likes]]+Table10_1[[#This Row],[Shares]]+Table10_1[[#This Row],[Comments]])/Table10_1[[#This Row],[Impressions]]</f>
        <v>5.5909322465613857E-2</v>
      </c>
    </row>
    <row r="207" spans="1:14" x14ac:dyDescent="0.25">
      <c r="A207" t="s">
        <v>253</v>
      </c>
      <c r="B207" t="s">
        <v>25</v>
      </c>
      <c r="C207" s="17">
        <v>45629</v>
      </c>
      <c r="D207" t="s">
        <v>31</v>
      </c>
      <c r="E207" t="s">
        <v>105</v>
      </c>
      <c r="F207">
        <v>4285</v>
      </c>
      <c r="G207">
        <v>886</v>
      </c>
      <c r="H207">
        <v>376</v>
      </c>
      <c r="I207">
        <v>55705</v>
      </c>
      <c r="J207">
        <v>55556</v>
      </c>
      <c r="K207">
        <v>51</v>
      </c>
      <c r="L207" t="s">
        <v>51</v>
      </c>
      <c r="M207" t="s">
        <v>28</v>
      </c>
      <c r="N207" s="37">
        <f>(Table10_1[[#This Row],[Likes]]+Table10_1[[#This Row],[Shares]]+Table10_1[[#This Row],[Comments]])/Table10_1[[#This Row],[Impressions]]</f>
        <v>9.9578134817341346E-2</v>
      </c>
    </row>
    <row r="208" spans="1:14" x14ac:dyDescent="0.25">
      <c r="A208" t="s">
        <v>254</v>
      </c>
      <c r="B208" t="s">
        <v>30</v>
      </c>
      <c r="C208" s="17">
        <v>45625</v>
      </c>
      <c r="D208" t="s">
        <v>59</v>
      </c>
      <c r="E208" t="s">
        <v>66</v>
      </c>
      <c r="F208">
        <v>1176</v>
      </c>
      <c r="G208">
        <v>464</v>
      </c>
      <c r="H208">
        <v>394</v>
      </c>
      <c r="I208">
        <v>14112</v>
      </c>
      <c r="J208">
        <v>13588</v>
      </c>
      <c r="K208">
        <v>272</v>
      </c>
      <c r="L208" t="s">
        <v>33</v>
      </c>
      <c r="N208" s="37">
        <f>(Table10_1[[#This Row],[Likes]]+Table10_1[[#This Row],[Shares]]+Table10_1[[#This Row],[Comments]])/Table10_1[[#This Row],[Impressions]]</f>
        <v>0.1441326530612245</v>
      </c>
    </row>
    <row r="209" spans="1:14" x14ac:dyDescent="0.25">
      <c r="A209" t="s">
        <v>255</v>
      </c>
      <c r="B209" t="s">
        <v>14</v>
      </c>
      <c r="C209" s="17">
        <v>45546</v>
      </c>
      <c r="D209" t="s">
        <v>44</v>
      </c>
      <c r="E209" t="s">
        <v>92</v>
      </c>
      <c r="F209">
        <v>4858</v>
      </c>
      <c r="G209">
        <v>317</v>
      </c>
      <c r="H209">
        <v>129</v>
      </c>
      <c r="I209">
        <v>53438</v>
      </c>
      <c r="J209">
        <v>52687</v>
      </c>
      <c r="K209">
        <v>223</v>
      </c>
      <c r="L209" t="s">
        <v>33</v>
      </c>
      <c r="M209" t="s">
        <v>28</v>
      </c>
      <c r="N209" s="37">
        <f>(Table10_1[[#This Row],[Likes]]+Table10_1[[#This Row],[Shares]]+Table10_1[[#This Row],[Comments]])/Table10_1[[#This Row],[Impressions]]</f>
        <v>9.9255211647142488E-2</v>
      </c>
    </row>
    <row r="210" spans="1:14" x14ac:dyDescent="0.25">
      <c r="A210" t="s">
        <v>256</v>
      </c>
      <c r="B210" t="s">
        <v>25</v>
      </c>
      <c r="C210" s="17">
        <v>45567</v>
      </c>
      <c r="D210" t="s">
        <v>31</v>
      </c>
      <c r="E210" t="s">
        <v>105</v>
      </c>
      <c r="F210">
        <v>4350</v>
      </c>
      <c r="G210">
        <v>771</v>
      </c>
      <c r="H210">
        <v>7</v>
      </c>
      <c r="I210">
        <v>60900</v>
      </c>
      <c r="J210">
        <v>60592</v>
      </c>
      <c r="K210">
        <v>195</v>
      </c>
      <c r="L210" t="s">
        <v>33</v>
      </c>
      <c r="M210" t="s">
        <v>18</v>
      </c>
      <c r="N210" s="37">
        <f>(Table10_1[[#This Row],[Likes]]+Table10_1[[#This Row],[Shares]]+Table10_1[[#This Row],[Comments]])/Table10_1[[#This Row],[Impressions]]</f>
        <v>8.4203612479474554E-2</v>
      </c>
    </row>
    <row r="211" spans="1:14" x14ac:dyDescent="0.25">
      <c r="A211" t="s">
        <v>257</v>
      </c>
      <c r="B211" t="s">
        <v>30</v>
      </c>
      <c r="C211" s="17">
        <v>45519</v>
      </c>
      <c r="D211" t="s">
        <v>39</v>
      </c>
      <c r="E211" t="s">
        <v>68</v>
      </c>
      <c r="F211">
        <v>914</v>
      </c>
      <c r="G211">
        <v>464</v>
      </c>
      <c r="H211">
        <v>246</v>
      </c>
      <c r="I211">
        <v>11882</v>
      </c>
      <c r="J211">
        <v>11500</v>
      </c>
      <c r="K211">
        <v>282</v>
      </c>
      <c r="L211" t="s">
        <v>51</v>
      </c>
      <c r="M211" t="s">
        <v>34</v>
      </c>
      <c r="N211" s="37">
        <f>(Table10_1[[#This Row],[Likes]]+Table10_1[[#This Row],[Shares]]+Table10_1[[#This Row],[Comments]])/Table10_1[[#This Row],[Impressions]]</f>
        <v>0.13667732704931829</v>
      </c>
    </row>
    <row r="212" spans="1:14" x14ac:dyDescent="0.25">
      <c r="A212" t="s">
        <v>257</v>
      </c>
      <c r="B212" t="s">
        <v>30</v>
      </c>
      <c r="C212" s="17">
        <v>45519</v>
      </c>
      <c r="D212" t="s">
        <v>39</v>
      </c>
      <c r="E212" t="s">
        <v>68</v>
      </c>
      <c r="F212">
        <v>914</v>
      </c>
      <c r="G212">
        <v>464</v>
      </c>
      <c r="H212">
        <v>246</v>
      </c>
      <c r="I212">
        <v>11882</v>
      </c>
      <c r="J212">
        <v>11500</v>
      </c>
      <c r="K212">
        <v>282</v>
      </c>
      <c r="L212" t="s">
        <v>27</v>
      </c>
      <c r="M212" t="s">
        <v>34</v>
      </c>
      <c r="N212" s="37">
        <f>(Table10_1[[#This Row],[Likes]]+Table10_1[[#This Row],[Shares]]+Table10_1[[#This Row],[Comments]])/Table10_1[[#This Row],[Impressions]]</f>
        <v>0.13667732704931829</v>
      </c>
    </row>
    <row r="213" spans="1:14" x14ac:dyDescent="0.25">
      <c r="A213" t="s">
        <v>257</v>
      </c>
      <c r="B213" t="s">
        <v>30</v>
      </c>
      <c r="C213" s="17">
        <v>45519</v>
      </c>
      <c r="D213" t="s">
        <v>39</v>
      </c>
      <c r="E213" t="s">
        <v>68</v>
      </c>
      <c r="F213">
        <v>914</v>
      </c>
      <c r="G213">
        <v>464</v>
      </c>
      <c r="H213">
        <v>246</v>
      </c>
      <c r="I213">
        <v>11882</v>
      </c>
      <c r="J213">
        <v>11500</v>
      </c>
      <c r="K213">
        <v>282</v>
      </c>
      <c r="L213" t="s">
        <v>379</v>
      </c>
      <c r="M213" t="s">
        <v>34</v>
      </c>
      <c r="N213" s="37">
        <f>(Table10_1[[#This Row],[Likes]]+Table10_1[[#This Row],[Shares]]+Table10_1[[#This Row],[Comments]])/Table10_1[[#This Row],[Impressions]]</f>
        <v>0.13667732704931829</v>
      </c>
    </row>
    <row r="214" spans="1:14" x14ac:dyDescent="0.25">
      <c r="A214" t="s">
        <v>258</v>
      </c>
      <c r="B214" t="s">
        <v>30</v>
      </c>
      <c r="C214" s="17">
        <v>45645</v>
      </c>
      <c r="D214" t="s">
        <v>20</v>
      </c>
      <c r="E214" t="s">
        <v>82</v>
      </c>
      <c r="F214">
        <v>1813</v>
      </c>
      <c r="G214">
        <v>623</v>
      </c>
      <c r="H214">
        <v>72</v>
      </c>
      <c r="I214">
        <v>19943</v>
      </c>
      <c r="J214">
        <v>18959</v>
      </c>
      <c r="K214">
        <v>85</v>
      </c>
      <c r="L214" t="s">
        <v>33</v>
      </c>
      <c r="M214" t="s">
        <v>28</v>
      </c>
      <c r="N214" s="37">
        <f>(Table10_1[[#This Row],[Likes]]+Table10_1[[#This Row],[Shares]]+Table10_1[[#This Row],[Comments]])/Table10_1[[#This Row],[Impressions]]</f>
        <v>0.12575841147269717</v>
      </c>
    </row>
    <row r="215" spans="1:14" x14ac:dyDescent="0.25">
      <c r="A215" t="s">
        <v>259</v>
      </c>
      <c r="B215" t="s">
        <v>14</v>
      </c>
      <c r="C215" s="17">
        <v>45587</v>
      </c>
      <c r="D215" t="s">
        <v>15</v>
      </c>
      <c r="E215" t="s">
        <v>16</v>
      </c>
      <c r="F215">
        <v>4782</v>
      </c>
      <c r="G215">
        <v>721</v>
      </c>
      <c r="H215">
        <v>82</v>
      </c>
      <c r="I215">
        <v>86076</v>
      </c>
      <c r="J215">
        <v>85339</v>
      </c>
      <c r="K215">
        <v>19</v>
      </c>
      <c r="L215" t="s">
        <v>33</v>
      </c>
      <c r="M215" t="s">
        <v>18</v>
      </c>
      <c r="N215" s="37">
        <f>(Table10_1[[#This Row],[Likes]]+Table10_1[[#This Row],[Shares]]+Table10_1[[#This Row],[Comments]])/Table10_1[[#This Row],[Impressions]]</f>
        <v>6.4884520656164318E-2</v>
      </c>
    </row>
    <row r="216" spans="1:14" x14ac:dyDescent="0.25">
      <c r="A216" t="s">
        <v>260</v>
      </c>
      <c r="B216" t="s">
        <v>14</v>
      </c>
      <c r="C216" s="17">
        <v>45549</v>
      </c>
      <c r="D216" t="s">
        <v>44</v>
      </c>
      <c r="E216" t="s">
        <v>92</v>
      </c>
      <c r="F216">
        <v>1048</v>
      </c>
      <c r="G216">
        <v>374</v>
      </c>
      <c r="H216">
        <v>450</v>
      </c>
      <c r="I216">
        <v>9432</v>
      </c>
      <c r="J216">
        <v>8882</v>
      </c>
      <c r="K216">
        <v>158</v>
      </c>
      <c r="L216" t="s">
        <v>27</v>
      </c>
      <c r="M216" t="s">
        <v>28</v>
      </c>
      <c r="N216" s="37">
        <f>(Table10_1[[#This Row],[Likes]]+Table10_1[[#This Row],[Shares]]+Table10_1[[#This Row],[Comments]])/Table10_1[[#This Row],[Impressions]]</f>
        <v>0.19847328244274809</v>
      </c>
    </row>
    <row r="217" spans="1:14" x14ac:dyDescent="0.25">
      <c r="A217" t="s">
        <v>261</v>
      </c>
      <c r="B217" t="s">
        <v>25</v>
      </c>
      <c r="C217" s="17">
        <v>45626</v>
      </c>
      <c r="D217" t="s">
        <v>39</v>
      </c>
      <c r="E217" t="s">
        <v>55</v>
      </c>
      <c r="F217">
        <v>2509</v>
      </c>
      <c r="G217">
        <v>324</v>
      </c>
      <c r="H217">
        <v>171</v>
      </c>
      <c r="I217">
        <v>35126</v>
      </c>
      <c r="J217">
        <v>34685</v>
      </c>
      <c r="K217">
        <v>277</v>
      </c>
      <c r="L217" t="s">
        <v>27</v>
      </c>
      <c r="M217" t="s">
        <v>23</v>
      </c>
      <c r="N217" s="37">
        <f>(Table10_1[[#This Row],[Likes]]+Table10_1[[#This Row],[Shares]]+Table10_1[[#This Row],[Comments]])/Table10_1[[#This Row],[Impressions]]</f>
        <v>8.5520696919660646E-2</v>
      </c>
    </row>
    <row r="218" spans="1:14" x14ac:dyDescent="0.25">
      <c r="A218" t="s">
        <v>262</v>
      </c>
      <c r="B218" t="s">
        <v>38</v>
      </c>
      <c r="C218" s="17">
        <v>45754</v>
      </c>
      <c r="D218" t="s">
        <v>15</v>
      </c>
      <c r="E218" t="s">
        <v>53</v>
      </c>
      <c r="F218">
        <v>3718</v>
      </c>
      <c r="G218">
        <v>385</v>
      </c>
      <c r="H218">
        <v>310</v>
      </c>
      <c r="I218">
        <v>70642</v>
      </c>
      <c r="J218">
        <v>69749</v>
      </c>
      <c r="K218">
        <v>233</v>
      </c>
      <c r="L218" t="s">
        <v>27</v>
      </c>
      <c r="M218" t="s">
        <v>23</v>
      </c>
      <c r="N218" s="37">
        <f>(Table10_1[[#This Row],[Likes]]+Table10_1[[#This Row],[Shares]]+Table10_1[[#This Row],[Comments]])/Table10_1[[#This Row],[Impressions]]</f>
        <v>6.246991874522239E-2</v>
      </c>
    </row>
    <row r="219" spans="1:14" x14ac:dyDescent="0.25">
      <c r="A219" t="s">
        <v>263</v>
      </c>
      <c r="B219" t="s">
        <v>14</v>
      </c>
      <c r="C219" s="17">
        <v>45672</v>
      </c>
      <c r="D219" t="s">
        <v>15</v>
      </c>
      <c r="E219" t="s">
        <v>16</v>
      </c>
      <c r="F219">
        <v>802</v>
      </c>
      <c r="G219">
        <v>262</v>
      </c>
      <c r="H219">
        <v>244</v>
      </c>
      <c r="I219">
        <v>14436</v>
      </c>
      <c r="J219">
        <v>14280</v>
      </c>
      <c r="K219">
        <v>49</v>
      </c>
      <c r="L219" t="s">
        <v>33</v>
      </c>
      <c r="M219" t="s">
        <v>18</v>
      </c>
      <c r="N219" s="37">
        <f>(Table10_1[[#This Row],[Likes]]+Table10_1[[#This Row],[Shares]]+Table10_1[[#This Row],[Comments]])/Table10_1[[#This Row],[Impressions]]</f>
        <v>9.0606816292601824E-2</v>
      </c>
    </row>
    <row r="220" spans="1:14" x14ac:dyDescent="0.25">
      <c r="A220" t="s">
        <v>264</v>
      </c>
      <c r="B220" t="s">
        <v>38</v>
      </c>
      <c r="C220" s="17">
        <v>45445</v>
      </c>
      <c r="D220" t="s">
        <v>44</v>
      </c>
      <c r="E220" t="s">
        <v>49</v>
      </c>
      <c r="F220">
        <v>1871</v>
      </c>
      <c r="G220">
        <v>252</v>
      </c>
      <c r="H220">
        <v>335</v>
      </c>
      <c r="I220">
        <v>29936</v>
      </c>
      <c r="J220">
        <v>29576</v>
      </c>
      <c r="K220">
        <v>288</v>
      </c>
      <c r="L220" t="s">
        <v>33</v>
      </c>
      <c r="M220" t="s">
        <v>28</v>
      </c>
      <c r="N220" s="37">
        <f>(Table10_1[[#This Row],[Likes]]+Table10_1[[#This Row],[Shares]]+Table10_1[[#This Row],[Comments]])/Table10_1[[#This Row],[Impressions]]</f>
        <v>8.2108498129342594E-2</v>
      </c>
    </row>
    <row r="221" spans="1:14" x14ac:dyDescent="0.25">
      <c r="A221" t="s">
        <v>265</v>
      </c>
      <c r="B221" t="s">
        <v>30</v>
      </c>
      <c r="C221" s="17">
        <v>45617</v>
      </c>
      <c r="D221" t="s">
        <v>39</v>
      </c>
      <c r="E221" t="s">
        <v>68</v>
      </c>
      <c r="F221">
        <v>3773</v>
      </c>
      <c r="G221">
        <v>299</v>
      </c>
      <c r="H221">
        <v>38</v>
      </c>
      <c r="I221">
        <v>71687</v>
      </c>
      <c r="J221">
        <v>71447</v>
      </c>
      <c r="K221">
        <v>286</v>
      </c>
      <c r="L221" t="s">
        <v>51</v>
      </c>
      <c r="M221" t="s">
        <v>18</v>
      </c>
      <c r="N221" s="37">
        <f>(Table10_1[[#This Row],[Likes]]+Table10_1[[#This Row],[Shares]]+Table10_1[[#This Row],[Comments]])/Table10_1[[#This Row],[Impressions]]</f>
        <v>5.7332570758993957E-2</v>
      </c>
    </row>
    <row r="222" spans="1:14" x14ac:dyDescent="0.25">
      <c r="A222" t="s">
        <v>266</v>
      </c>
      <c r="B222" t="s">
        <v>30</v>
      </c>
      <c r="C222" s="17">
        <v>45658</v>
      </c>
      <c r="D222" t="s">
        <v>39</v>
      </c>
      <c r="E222" t="s">
        <v>68</v>
      </c>
      <c r="F222">
        <v>2234</v>
      </c>
      <c r="G222">
        <v>653</v>
      </c>
      <c r="H222">
        <v>432</v>
      </c>
      <c r="I222">
        <v>11170</v>
      </c>
      <c r="J222">
        <v>10569</v>
      </c>
      <c r="K222">
        <v>198</v>
      </c>
      <c r="L222" t="s">
        <v>51</v>
      </c>
      <c r="M222" t="s">
        <v>28</v>
      </c>
      <c r="N222" s="37">
        <f>(Table10_1[[#This Row],[Likes]]+Table10_1[[#This Row],[Shares]]+Table10_1[[#This Row],[Comments]])/Table10_1[[#This Row],[Impressions]]</f>
        <v>0.29713518352730528</v>
      </c>
    </row>
    <row r="223" spans="1:14" x14ac:dyDescent="0.25">
      <c r="A223" t="s">
        <v>267</v>
      </c>
      <c r="B223" t="s">
        <v>14</v>
      </c>
      <c r="C223" s="17">
        <v>45771</v>
      </c>
      <c r="D223" t="s">
        <v>59</v>
      </c>
      <c r="E223" t="s">
        <v>99</v>
      </c>
      <c r="F223">
        <v>3820</v>
      </c>
      <c r="G223">
        <v>697</v>
      </c>
      <c r="H223">
        <v>268</v>
      </c>
      <c r="I223">
        <v>45840</v>
      </c>
      <c r="J223">
        <v>45631</v>
      </c>
      <c r="K223">
        <v>171</v>
      </c>
      <c r="L223" t="s">
        <v>27</v>
      </c>
      <c r="M223" t="s">
        <v>34</v>
      </c>
      <c r="N223" s="37">
        <f>(Table10_1[[#This Row],[Likes]]+Table10_1[[#This Row],[Shares]]+Table10_1[[#This Row],[Comments]])/Table10_1[[#This Row],[Impressions]]</f>
        <v>0.1043848167539267</v>
      </c>
    </row>
    <row r="224" spans="1:14" x14ac:dyDescent="0.25">
      <c r="A224" t="s">
        <v>267</v>
      </c>
      <c r="B224" t="s">
        <v>14</v>
      </c>
      <c r="C224" s="17">
        <v>45771</v>
      </c>
      <c r="D224" t="s">
        <v>59</v>
      </c>
      <c r="E224" t="s">
        <v>99</v>
      </c>
      <c r="F224">
        <v>3820</v>
      </c>
      <c r="G224">
        <v>697</v>
      </c>
      <c r="H224">
        <v>268</v>
      </c>
      <c r="I224">
        <v>45840</v>
      </c>
      <c r="J224">
        <v>45631</v>
      </c>
      <c r="K224">
        <v>171</v>
      </c>
      <c r="L224" t="s">
        <v>381</v>
      </c>
      <c r="M224" t="s">
        <v>34</v>
      </c>
      <c r="N224" s="37">
        <f>(Table10_1[[#This Row],[Likes]]+Table10_1[[#This Row],[Shares]]+Table10_1[[#This Row],[Comments]])/Table10_1[[#This Row],[Impressions]]</f>
        <v>0.1043848167539267</v>
      </c>
    </row>
    <row r="225" spans="1:14" x14ac:dyDescent="0.25">
      <c r="A225" t="s">
        <v>269</v>
      </c>
      <c r="B225" t="s">
        <v>14</v>
      </c>
      <c r="C225" s="17">
        <v>45467</v>
      </c>
      <c r="D225" t="s">
        <v>20</v>
      </c>
      <c r="E225" t="s">
        <v>21</v>
      </c>
      <c r="F225">
        <v>941</v>
      </c>
      <c r="G225">
        <v>121</v>
      </c>
      <c r="H225">
        <v>458</v>
      </c>
      <c r="I225">
        <v>14115</v>
      </c>
      <c r="J225">
        <v>13838</v>
      </c>
      <c r="K225">
        <v>87</v>
      </c>
      <c r="L225" t="s">
        <v>33</v>
      </c>
      <c r="M225" t="s">
        <v>18</v>
      </c>
      <c r="N225" s="37">
        <f>(Table10_1[[#This Row],[Likes]]+Table10_1[[#This Row],[Shares]]+Table10_1[[#This Row],[Comments]])/Table10_1[[#This Row],[Impressions]]</f>
        <v>0.10768685795253277</v>
      </c>
    </row>
    <row r="226" spans="1:14" x14ac:dyDescent="0.25">
      <c r="A226" t="s">
        <v>270</v>
      </c>
      <c r="B226" t="s">
        <v>14</v>
      </c>
      <c r="C226" s="17">
        <v>45655</v>
      </c>
      <c r="D226" t="s">
        <v>39</v>
      </c>
      <c r="E226" t="s">
        <v>42</v>
      </c>
      <c r="F226">
        <v>4274</v>
      </c>
      <c r="G226">
        <v>340</v>
      </c>
      <c r="H226">
        <v>281</v>
      </c>
      <c r="I226">
        <v>34192</v>
      </c>
      <c r="J226">
        <v>33446</v>
      </c>
      <c r="K226">
        <v>129</v>
      </c>
      <c r="L226" t="s">
        <v>27</v>
      </c>
      <c r="M226" t="s">
        <v>28</v>
      </c>
      <c r="N226" s="37">
        <f>(Table10_1[[#This Row],[Likes]]+Table10_1[[#This Row],[Shares]]+Table10_1[[#This Row],[Comments]])/Table10_1[[#This Row],[Impressions]]</f>
        <v>0.14316214319138981</v>
      </c>
    </row>
    <row r="227" spans="1:14" x14ac:dyDescent="0.25">
      <c r="A227" t="s">
        <v>270</v>
      </c>
      <c r="B227" t="s">
        <v>14</v>
      </c>
      <c r="C227" s="17">
        <v>45655</v>
      </c>
      <c r="D227" t="s">
        <v>39</v>
      </c>
      <c r="E227" t="s">
        <v>42</v>
      </c>
      <c r="F227">
        <v>4274</v>
      </c>
      <c r="G227">
        <v>340</v>
      </c>
      <c r="H227">
        <v>281</v>
      </c>
      <c r="I227">
        <v>34192</v>
      </c>
      <c r="J227">
        <v>33446</v>
      </c>
      <c r="K227">
        <v>129</v>
      </c>
      <c r="L227" t="s">
        <v>381</v>
      </c>
      <c r="M227" t="s">
        <v>28</v>
      </c>
      <c r="N227" s="37">
        <f>(Table10_1[[#This Row],[Likes]]+Table10_1[[#This Row],[Shares]]+Table10_1[[#This Row],[Comments]])/Table10_1[[#This Row],[Impressions]]</f>
        <v>0.14316214319138981</v>
      </c>
    </row>
    <row r="228" spans="1:14" x14ac:dyDescent="0.25">
      <c r="A228" t="s">
        <v>271</v>
      </c>
      <c r="B228" t="s">
        <v>25</v>
      </c>
      <c r="C228" s="17">
        <v>45467</v>
      </c>
      <c r="D228" t="s">
        <v>59</v>
      </c>
      <c r="E228" t="s">
        <v>143</v>
      </c>
      <c r="F228">
        <v>2949</v>
      </c>
      <c r="G228">
        <v>476</v>
      </c>
      <c r="H228">
        <v>403</v>
      </c>
      <c r="I228">
        <v>44235</v>
      </c>
      <c r="J228">
        <v>43705</v>
      </c>
      <c r="K228">
        <v>135</v>
      </c>
      <c r="L228" t="s">
        <v>27</v>
      </c>
      <c r="M228" t="s">
        <v>23</v>
      </c>
      <c r="N228" s="37">
        <f>(Table10_1[[#This Row],[Likes]]+Table10_1[[#This Row],[Shares]]+Table10_1[[#This Row],[Comments]])/Table10_1[[#This Row],[Impressions]]</f>
        <v>8.6537809426924378E-2</v>
      </c>
    </row>
    <row r="229" spans="1:14" x14ac:dyDescent="0.25">
      <c r="A229" t="s">
        <v>272</v>
      </c>
      <c r="B229" t="s">
        <v>14</v>
      </c>
      <c r="C229" s="17">
        <v>45735</v>
      </c>
      <c r="D229" t="s">
        <v>59</v>
      </c>
      <c r="E229" t="s">
        <v>99</v>
      </c>
      <c r="F229">
        <v>3160</v>
      </c>
      <c r="G229">
        <v>204</v>
      </c>
      <c r="H229">
        <v>297</v>
      </c>
      <c r="I229">
        <v>44240</v>
      </c>
      <c r="J229">
        <v>43666</v>
      </c>
      <c r="K229">
        <v>49</v>
      </c>
      <c r="L229" t="s">
        <v>51</v>
      </c>
      <c r="M229" t="s">
        <v>34</v>
      </c>
      <c r="N229" s="37">
        <f>(Table10_1[[#This Row],[Likes]]+Table10_1[[#This Row],[Shares]]+Table10_1[[#This Row],[Comments]])/Table10_1[[#This Row],[Impressions]]</f>
        <v>8.2753164556962022E-2</v>
      </c>
    </row>
    <row r="230" spans="1:14" x14ac:dyDescent="0.25">
      <c r="A230" t="s">
        <v>272</v>
      </c>
      <c r="B230" t="s">
        <v>14</v>
      </c>
      <c r="C230" s="17">
        <v>45735</v>
      </c>
      <c r="D230" t="s">
        <v>59</v>
      </c>
      <c r="E230" t="s">
        <v>99</v>
      </c>
      <c r="F230">
        <v>3160</v>
      </c>
      <c r="G230">
        <v>204</v>
      </c>
      <c r="H230">
        <v>297</v>
      </c>
      <c r="I230">
        <v>44240</v>
      </c>
      <c r="J230">
        <v>43666</v>
      </c>
      <c r="K230">
        <v>49</v>
      </c>
      <c r="L230" t="s">
        <v>379</v>
      </c>
      <c r="M230" t="s">
        <v>34</v>
      </c>
      <c r="N230" s="37">
        <f>(Table10_1[[#This Row],[Likes]]+Table10_1[[#This Row],[Shares]]+Table10_1[[#This Row],[Comments]])/Table10_1[[#This Row],[Impressions]]</f>
        <v>8.2753164556962022E-2</v>
      </c>
    </row>
    <row r="231" spans="1:14" x14ac:dyDescent="0.25">
      <c r="A231" t="s">
        <v>273</v>
      </c>
      <c r="B231" t="s">
        <v>25</v>
      </c>
      <c r="C231" s="17">
        <v>45707</v>
      </c>
      <c r="D231" t="s">
        <v>44</v>
      </c>
      <c r="E231" t="s">
        <v>45</v>
      </c>
      <c r="F231">
        <v>257</v>
      </c>
      <c r="G231">
        <v>966</v>
      </c>
      <c r="H231">
        <v>398</v>
      </c>
      <c r="I231">
        <v>3341</v>
      </c>
      <c r="J231">
        <v>2753</v>
      </c>
      <c r="K231">
        <v>287</v>
      </c>
      <c r="L231" t="s">
        <v>51</v>
      </c>
      <c r="M231" t="s">
        <v>18</v>
      </c>
      <c r="N231" s="37">
        <f>(Table10_1[[#This Row],[Likes]]+Table10_1[[#This Row],[Shares]]+Table10_1[[#This Row],[Comments]])/Table10_1[[#This Row],[Impressions]]</f>
        <v>0.48518407662376534</v>
      </c>
    </row>
    <row r="232" spans="1:14" x14ac:dyDescent="0.25">
      <c r="A232" t="s">
        <v>274</v>
      </c>
      <c r="B232" t="s">
        <v>14</v>
      </c>
      <c r="C232" s="17">
        <v>45491</v>
      </c>
      <c r="D232" t="s">
        <v>39</v>
      </c>
      <c r="E232" t="s">
        <v>42</v>
      </c>
      <c r="F232">
        <v>2120</v>
      </c>
      <c r="G232">
        <v>38</v>
      </c>
      <c r="H232">
        <v>212</v>
      </c>
      <c r="I232">
        <v>12720</v>
      </c>
      <c r="J232">
        <v>12564</v>
      </c>
      <c r="K232">
        <v>21</v>
      </c>
      <c r="L232" t="s">
        <v>51</v>
      </c>
      <c r="M232" t="s">
        <v>34</v>
      </c>
      <c r="N232" s="37">
        <f>(Table10_1[[#This Row],[Likes]]+Table10_1[[#This Row],[Shares]]+Table10_1[[#This Row],[Comments]])/Table10_1[[#This Row],[Impressions]]</f>
        <v>0.18632075471698112</v>
      </c>
    </row>
    <row r="233" spans="1:14" x14ac:dyDescent="0.25">
      <c r="A233" t="s">
        <v>275</v>
      </c>
      <c r="B233" t="s">
        <v>25</v>
      </c>
      <c r="C233" s="17">
        <v>45719</v>
      </c>
      <c r="D233" t="s">
        <v>59</v>
      </c>
      <c r="E233" t="s">
        <v>143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27</v>
      </c>
      <c r="M233" t="s">
        <v>23</v>
      </c>
      <c r="N233" s="37">
        <f>(Table10_1[[#This Row],[Likes]]+Table10_1[[#This Row],[Shares]]+Table10_1[[#This Row],[Comments]])/Table10_1[[#This Row],[Impressions]]</f>
        <v>0.123309241094476</v>
      </c>
    </row>
    <row r="234" spans="1:14" x14ac:dyDescent="0.25">
      <c r="A234" t="s">
        <v>276</v>
      </c>
      <c r="B234" t="s">
        <v>38</v>
      </c>
      <c r="C234" s="17">
        <v>45778</v>
      </c>
      <c r="D234" t="s">
        <v>39</v>
      </c>
      <c r="E234" t="s">
        <v>40</v>
      </c>
      <c r="F234">
        <v>2696</v>
      </c>
      <c r="G234">
        <v>628</v>
      </c>
      <c r="H234">
        <v>443</v>
      </c>
      <c r="I234">
        <v>45832</v>
      </c>
      <c r="J234">
        <v>45632</v>
      </c>
      <c r="K234">
        <v>248</v>
      </c>
      <c r="L234" t="s">
        <v>33</v>
      </c>
      <c r="M234" t="s">
        <v>34</v>
      </c>
      <c r="N234" s="37">
        <f>(Table10_1[[#This Row],[Likes]]+Table10_1[[#This Row],[Shares]]+Table10_1[[#This Row],[Comments]])/Table10_1[[#This Row],[Impressions]]</f>
        <v>8.21914819340199E-2</v>
      </c>
    </row>
    <row r="235" spans="1:14" x14ac:dyDescent="0.25">
      <c r="A235" t="s">
        <v>277</v>
      </c>
      <c r="B235" t="s">
        <v>30</v>
      </c>
      <c r="C235" s="17">
        <v>45649</v>
      </c>
      <c r="D235" t="s">
        <v>44</v>
      </c>
      <c r="E235" t="s">
        <v>140</v>
      </c>
      <c r="F235">
        <v>521</v>
      </c>
      <c r="G235">
        <v>746</v>
      </c>
      <c r="H235">
        <v>315</v>
      </c>
      <c r="I235">
        <v>4168</v>
      </c>
      <c r="J235">
        <v>3399</v>
      </c>
      <c r="K235">
        <v>282</v>
      </c>
      <c r="L235" t="s">
        <v>51</v>
      </c>
      <c r="M235" t="s">
        <v>23</v>
      </c>
      <c r="N235" s="37">
        <f>(Table10_1[[#This Row],[Likes]]+Table10_1[[#This Row],[Shares]]+Table10_1[[#This Row],[Comments]])/Table10_1[[#This Row],[Impressions]]</f>
        <v>0.37955854126679461</v>
      </c>
    </row>
    <row r="236" spans="1:14" x14ac:dyDescent="0.25">
      <c r="A236" t="s">
        <v>278</v>
      </c>
      <c r="B236" t="s">
        <v>38</v>
      </c>
      <c r="C236" s="17">
        <v>45783</v>
      </c>
      <c r="D236" t="s">
        <v>44</v>
      </c>
      <c r="E236" t="s">
        <v>49</v>
      </c>
      <c r="F236">
        <v>4872</v>
      </c>
      <c r="G236">
        <v>925</v>
      </c>
      <c r="H236">
        <v>176</v>
      </c>
      <c r="I236">
        <v>82824</v>
      </c>
      <c r="J236">
        <v>82543</v>
      </c>
      <c r="K236">
        <v>89</v>
      </c>
      <c r="L236" t="s">
        <v>33</v>
      </c>
      <c r="M236" t="s">
        <v>23</v>
      </c>
      <c r="N236" s="37">
        <f>(Table10_1[[#This Row],[Likes]]+Table10_1[[#This Row],[Shares]]+Table10_1[[#This Row],[Comments]])/Table10_1[[#This Row],[Impressions]]</f>
        <v>7.2116777745580993E-2</v>
      </c>
    </row>
    <row r="237" spans="1:14" x14ac:dyDescent="0.25">
      <c r="A237" t="s">
        <v>279</v>
      </c>
      <c r="B237" t="s">
        <v>25</v>
      </c>
      <c r="C237" s="17">
        <v>45502</v>
      </c>
      <c r="D237" t="s">
        <v>31</v>
      </c>
      <c r="E237" t="s">
        <v>105</v>
      </c>
      <c r="F237">
        <v>1509</v>
      </c>
      <c r="G237">
        <v>88</v>
      </c>
      <c r="H237">
        <v>163</v>
      </c>
      <c r="I237">
        <v>30180</v>
      </c>
      <c r="J237">
        <v>29689</v>
      </c>
      <c r="K237">
        <v>119</v>
      </c>
      <c r="L237" t="s">
        <v>33</v>
      </c>
      <c r="M237" t="s">
        <v>23</v>
      </c>
      <c r="N237" s="37">
        <f>(Table10_1[[#This Row],[Likes]]+Table10_1[[#This Row],[Shares]]+Table10_1[[#This Row],[Comments]])/Table10_1[[#This Row],[Impressions]]</f>
        <v>5.8316766070245198E-2</v>
      </c>
    </row>
    <row r="238" spans="1:14" x14ac:dyDescent="0.25">
      <c r="A238" t="s">
        <v>280</v>
      </c>
      <c r="B238" t="s">
        <v>38</v>
      </c>
      <c r="C238" s="17">
        <v>45629</v>
      </c>
      <c r="D238" t="s">
        <v>44</v>
      </c>
      <c r="E238" t="s">
        <v>49</v>
      </c>
      <c r="F238">
        <v>4606</v>
      </c>
      <c r="G238">
        <v>931</v>
      </c>
      <c r="H238">
        <v>230</v>
      </c>
      <c r="I238">
        <v>92120</v>
      </c>
      <c r="J238">
        <v>91440</v>
      </c>
      <c r="K238">
        <v>56</v>
      </c>
      <c r="L238" t="s">
        <v>27</v>
      </c>
      <c r="N238" s="37">
        <f>(Table10_1[[#This Row],[Likes]]+Table10_1[[#This Row],[Shares]]+Table10_1[[#This Row],[Comments]])/Table10_1[[#This Row],[Impressions]]</f>
        <v>6.2603126356925748E-2</v>
      </c>
    </row>
    <row r="239" spans="1:14" x14ac:dyDescent="0.25">
      <c r="A239" t="s">
        <v>281</v>
      </c>
      <c r="B239" t="s">
        <v>38</v>
      </c>
      <c r="C239" s="17">
        <v>45454</v>
      </c>
      <c r="D239" t="s">
        <v>39</v>
      </c>
      <c r="E239" t="s">
        <v>40</v>
      </c>
      <c r="F239">
        <v>1869</v>
      </c>
      <c r="G239">
        <v>453</v>
      </c>
      <c r="H239">
        <v>490</v>
      </c>
      <c r="I239">
        <v>14952</v>
      </c>
      <c r="J239">
        <v>14309</v>
      </c>
      <c r="K239">
        <v>275</v>
      </c>
      <c r="L239" t="s">
        <v>27</v>
      </c>
      <c r="M239" t="s">
        <v>34</v>
      </c>
      <c r="N239" s="37">
        <f>(Table10_1[[#This Row],[Likes]]+Table10_1[[#This Row],[Shares]]+Table10_1[[#This Row],[Comments]])/Table10_1[[#This Row],[Impressions]]</f>
        <v>0.18806848582129482</v>
      </c>
    </row>
    <row r="240" spans="1:14" x14ac:dyDescent="0.25">
      <c r="A240" t="s">
        <v>282</v>
      </c>
      <c r="B240" t="s">
        <v>14</v>
      </c>
      <c r="C240" s="17">
        <v>45685</v>
      </c>
      <c r="D240" t="s">
        <v>15</v>
      </c>
      <c r="E240" t="s">
        <v>16</v>
      </c>
      <c r="F240">
        <v>1188</v>
      </c>
      <c r="G240">
        <v>470</v>
      </c>
      <c r="H240">
        <v>174</v>
      </c>
      <c r="I240">
        <v>7128</v>
      </c>
      <c r="J240">
        <v>6145</v>
      </c>
      <c r="K240">
        <v>270</v>
      </c>
      <c r="L240" t="s">
        <v>27</v>
      </c>
      <c r="M240" t="s">
        <v>34</v>
      </c>
      <c r="N240" s="37">
        <f>(Table10_1[[#This Row],[Likes]]+Table10_1[[#This Row],[Shares]]+Table10_1[[#This Row],[Comments]])/Table10_1[[#This Row],[Impressions]]</f>
        <v>0.25701459034792368</v>
      </c>
    </row>
    <row r="241" spans="1:14" x14ac:dyDescent="0.25">
      <c r="A241" t="s">
        <v>283</v>
      </c>
      <c r="B241" t="s">
        <v>30</v>
      </c>
      <c r="C241" s="17">
        <v>45445</v>
      </c>
      <c r="D241" t="s">
        <v>31</v>
      </c>
      <c r="E241" t="s">
        <v>32</v>
      </c>
      <c r="F241">
        <v>84</v>
      </c>
      <c r="G241">
        <v>897</v>
      </c>
      <c r="H241">
        <v>85</v>
      </c>
      <c r="I241">
        <v>588</v>
      </c>
      <c r="J241">
        <v>8</v>
      </c>
      <c r="K241">
        <v>12</v>
      </c>
      <c r="L241" t="s">
        <v>33</v>
      </c>
      <c r="N241" s="37">
        <f>(Table10_1[[#This Row],[Likes]]+Table10_1[[#This Row],[Shares]]+Table10_1[[#This Row],[Comments]])/Table10_1[[#This Row],[Impressions]]</f>
        <v>1.8129251700680271</v>
      </c>
    </row>
    <row r="242" spans="1:14" x14ac:dyDescent="0.25">
      <c r="A242" t="s">
        <v>284</v>
      </c>
      <c r="B242" t="s">
        <v>38</v>
      </c>
      <c r="C242" s="17">
        <v>45739</v>
      </c>
      <c r="D242" t="s">
        <v>59</v>
      </c>
      <c r="E242" t="s">
        <v>60</v>
      </c>
      <c r="F242">
        <v>4453</v>
      </c>
      <c r="G242">
        <v>111</v>
      </c>
      <c r="H242">
        <v>420</v>
      </c>
      <c r="I242">
        <v>31171</v>
      </c>
      <c r="J242">
        <v>30565</v>
      </c>
      <c r="K242">
        <v>23</v>
      </c>
      <c r="L242" t="s">
        <v>27</v>
      </c>
      <c r="N242" s="37">
        <f>(Table10_1[[#This Row],[Likes]]+Table10_1[[#This Row],[Shares]]+Table10_1[[#This Row],[Comments]])/Table10_1[[#This Row],[Impressions]]</f>
        <v>0.15989220750056141</v>
      </c>
    </row>
    <row r="243" spans="1:14" x14ac:dyDescent="0.25">
      <c r="A243" t="s">
        <v>285</v>
      </c>
      <c r="B243" t="s">
        <v>38</v>
      </c>
      <c r="C243" s="17">
        <v>45573</v>
      </c>
      <c r="D243" t="s">
        <v>15</v>
      </c>
      <c r="E243" t="s">
        <v>53</v>
      </c>
      <c r="F243">
        <v>1814</v>
      </c>
      <c r="G243">
        <v>653</v>
      </c>
      <c r="H243">
        <v>363</v>
      </c>
      <c r="I243">
        <v>25396</v>
      </c>
      <c r="J243">
        <v>25286</v>
      </c>
      <c r="K243">
        <v>39</v>
      </c>
      <c r="L243" t="s">
        <v>51</v>
      </c>
      <c r="M243" t="s">
        <v>18</v>
      </c>
      <c r="N243" s="37">
        <f>(Table10_1[[#This Row],[Likes]]+Table10_1[[#This Row],[Shares]]+Table10_1[[#This Row],[Comments]])/Table10_1[[#This Row],[Impressions]]</f>
        <v>0.11143487163332809</v>
      </c>
    </row>
    <row r="244" spans="1:14" x14ac:dyDescent="0.25">
      <c r="A244" t="s">
        <v>285</v>
      </c>
      <c r="B244" t="s">
        <v>38</v>
      </c>
      <c r="C244" s="17">
        <v>45573</v>
      </c>
      <c r="D244" t="s">
        <v>15</v>
      </c>
      <c r="E244" t="s">
        <v>53</v>
      </c>
      <c r="F244">
        <v>1814</v>
      </c>
      <c r="G244">
        <v>653</v>
      </c>
      <c r="H244">
        <v>363</v>
      </c>
      <c r="I244">
        <v>25396</v>
      </c>
      <c r="J244">
        <v>25286</v>
      </c>
      <c r="K244">
        <v>39</v>
      </c>
      <c r="L244" t="s">
        <v>381</v>
      </c>
      <c r="M244" t="s">
        <v>18</v>
      </c>
      <c r="N244" s="37">
        <f>(Table10_1[[#This Row],[Likes]]+Table10_1[[#This Row],[Shares]]+Table10_1[[#This Row],[Comments]])/Table10_1[[#This Row],[Impressions]]</f>
        <v>0.11143487163332809</v>
      </c>
    </row>
    <row r="245" spans="1:14" x14ac:dyDescent="0.25">
      <c r="A245" t="s">
        <v>287</v>
      </c>
      <c r="B245" t="s">
        <v>14</v>
      </c>
      <c r="C245" s="17">
        <v>45608</v>
      </c>
      <c r="D245" t="s">
        <v>44</v>
      </c>
      <c r="E245" t="s">
        <v>92</v>
      </c>
      <c r="F245">
        <v>3338</v>
      </c>
      <c r="G245">
        <v>277</v>
      </c>
      <c r="H245">
        <v>118</v>
      </c>
      <c r="I245">
        <v>60084</v>
      </c>
      <c r="J245">
        <v>59842</v>
      </c>
      <c r="K245">
        <v>252</v>
      </c>
      <c r="L245" t="s">
        <v>27</v>
      </c>
      <c r="N245" s="37">
        <f>(Table10_1[[#This Row],[Likes]]+Table10_1[[#This Row],[Shares]]+Table10_1[[#This Row],[Comments]])/Table10_1[[#This Row],[Impressions]]</f>
        <v>6.2129685107516146E-2</v>
      </c>
    </row>
    <row r="246" spans="1:14" x14ac:dyDescent="0.25">
      <c r="A246" t="s">
        <v>288</v>
      </c>
      <c r="B246" t="s">
        <v>38</v>
      </c>
      <c r="C246" s="17">
        <v>45790</v>
      </c>
      <c r="D246" t="s">
        <v>44</v>
      </c>
      <c r="E246" t="s">
        <v>49</v>
      </c>
      <c r="F246">
        <v>602</v>
      </c>
      <c r="G246">
        <v>594</v>
      </c>
      <c r="H246">
        <v>156</v>
      </c>
      <c r="I246">
        <v>4214</v>
      </c>
      <c r="J246">
        <v>3363</v>
      </c>
      <c r="K246">
        <v>164</v>
      </c>
      <c r="L246" t="s">
        <v>27</v>
      </c>
      <c r="M246" t="s">
        <v>28</v>
      </c>
      <c r="N246" s="37">
        <f>(Table10_1[[#This Row],[Likes]]+Table10_1[[#This Row],[Shares]]+Table10_1[[#This Row],[Comments]])/Table10_1[[#This Row],[Impressions]]</f>
        <v>0.32083531086853345</v>
      </c>
    </row>
    <row r="247" spans="1:14" x14ac:dyDescent="0.25">
      <c r="A247" t="s">
        <v>289</v>
      </c>
      <c r="B247" t="s">
        <v>14</v>
      </c>
      <c r="C247" s="17">
        <v>45463</v>
      </c>
      <c r="D247" t="s">
        <v>39</v>
      </c>
      <c r="E247" t="s">
        <v>42</v>
      </c>
      <c r="F247">
        <v>4672</v>
      </c>
      <c r="G247">
        <v>325</v>
      </c>
      <c r="H247">
        <v>32</v>
      </c>
      <c r="I247">
        <v>88768</v>
      </c>
      <c r="J247">
        <v>87833</v>
      </c>
      <c r="K247">
        <v>118</v>
      </c>
      <c r="L247" t="s">
        <v>33</v>
      </c>
      <c r="N247" s="37">
        <f>(Table10_1[[#This Row],[Likes]]+Table10_1[[#This Row],[Shares]]+Table10_1[[#This Row],[Comments]])/Table10_1[[#This Row],[Impressions]]</f>
        <v>5.6653298485940883E-2</v>
      </c>
    </row>
    <row r="248" spans="1:14" x14ac:dyDescent="0.25">
      <c r="A248" t="s">
        <v>290</v>
      </c>
      <c r="B248" t="s">
        <v>30</v>
      </c>
      <c r="C248" s="17">
        <v>45511</v>
      </c>
      <c r="D248" t="s">
        <v>39</v>
      </c>
      <c r="E248" t="s">
        <v>68</v>
      </c>
      <c r="F248">
        <v>1741</v>
      </c>
      <c r="G248">
        <v>164</v>
      </c>
      <c r="H248">
        <v>318</v>
      </c>
      <c r="I248">
        <v>8705</v>
      </c>
      <c r="J248">
        <v>8272</v>
      </c>
      <c r="K248">
        <v>121</v>
      </c>
      <c r="L248" t="s">
        <v>27</v>
      </c>
      <c r="N248" s="37">
        <f>(Table10_1[[#This Row],[Likes]]+Table10_1[[#This Row],[Shares]]+Table10_1[[#This Row],[Comments]])/Table10_1[[#This Row],[Impressions]]</f>
        <v>0.25537047673750718</v>
      </c>
    </row>
    <row r="249" spans="1:14" x14ac:dyDescent="0.25">
      <c r="A249" t="s">
        <v>291</v>
      </c>
      <c r="B249" t="s">
        <v>30</v>
      </c>
      <c r="C249" s="17">
        <v>45455</v>
      </c>
      <c r="D249" t="s">
        <v>20</v>
      </c>
      <c r="E249" t="s">
        <v>82</v>
      </c>
      <c r="F249">
        <v>246</v>
      </c>
      <c r="G249">
        <v>149</v>
      </c>
      <c r="H249">
        <v>130</v>
      </c>
      <c r="I249">
        <v>4674</v>
      </c>
      <c r="J249">
        <v>4390</v>
      </c>
      <c r="K249">
        <v>217</v>
      </c>
      <c r="L249" t="s">
        <v>51</v>
      </c>
      <c r="M249" t="s">
        <v>28</v>
      </c>
      <c r="N249" s="37">
        <f>(Table10_1[[#This Row],[Likes]]+Table10_1[[#This Row],[Shares]]+Table10_1[[#This Row],[Comments]])/Table10_1[[#This Row],[Impressions]]</f>
        <v>0.11232349165596919</v>
      </c>
    </row>
    <row r="250" spans="1:14" x14ac:dyDescent="0.25">
      <c r="A250" t="s">
        <v>292</v>
      </c>
      <c r="B250" t="s">
        <v>30</v>
      </c>
      <c r="C250" s="17">
        <v>45474</v>
      </c>
      <c r="D250" t="s">
        <v>31</v>
      </c>
      <c r="E250" t="s">
        <v>32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195</v>
      </c>
      <c r="L250" t="s">
        <v>33</v>
      </c>
      <c r="M250" t="s">
        <v>18</v>
      </c>
      <c r="N250" s="37">
        <f>(Table10_1[[#This Row],[Likes]]+Table10_1[[#This Row],[Shares]]+Table10_1[[#This Row],[Comments]])/Table10_1[[#This Row],[Impressions]]</f>
        <v>8.1808097615085965E-2</v>
      </c>
    </row>
    <row r="251" spans="1:14" x14ac:dyDescent="0.25">
      <c r="A251" t="s">
        <v>293</v>
      </c>
      <c r="B251" t="s">
        <v>30</v>
      </c>
      <c r="C251" s="17">
        <v>45476</v>
      </c>
      <c r="D251" t="s">
        <v>39</v>
      </c>
      <c r="E251" t="s">
        <v>68</v>
      </c>
      <c r="F251">
        <v>4799</v>
      </c>
      <c r="G251">
        <v>694</v>
      </c>
      <c r="H251">
        <v>289</v>
      </c>
      <c r="I251">
        <v>43191</v>
      </c>
      <c r="J251">
        <v>42228</v>
      </c>
      <c r="K251">
        <v>118</v>
      </c>
      <c r="L251" t="s">
        <v>27</v>
      </c>
      <c r="N251" s="37">
        <f>(Table10_1[[#This Row],[Likes]]+Table10_1[[#This Row],[Shares]]+Table10_1[[#This Row],[Comments]])/Table10_1[[#This Row],[Impressions]]</f>
        <v>0.13387048227640017</v>
      </c>
    </row>
    <row r="252" spans="1:14" x14ac:dyDescent="0.25">
      <c r="A252" t="s">
        <v>294</v>
      </c>
      <c r="B252" t="s">
        <v>38</v>
      </c>
      <c r="C252" s="17">
        <v>45488</v>
      </c>
      <c r="D252" t="s">
        <v>15</v>
      </c>
      <c r="E252" t="s">
        <v>53</v>
      </c>
      <c r="F252">
        <v>3663</v>
      </c>
      <c r="G252">
        <v>17</v>
      </c>
      <c r="H252">
        <v>295</v>
      </c>
      <c r="I252">
        <v>51282</v>
      </c>
      <c r="J252">
        <v>50567</v>
      </c>
      <c r="K252">
        <v>84</v>
      </c>
      <c r="L252" t="s">
        <v>33</v>
      </c>
      <c r="M252" t="s">
        <v>28</v>
      </c>
      <c r="N252" s="37">
        <f>(Table10_1[[#This Row],[Likes]]+Table10_1[[#This Row],[Shares]]+Table10_1[[#This Row],[Comments]])/Table10_1[[#This Row],[Impressions]]</f>
        <v>7.7512577512577507E-2</v>
      </c>
    </row>
    <row r="253" spans="1:14" x14ac:dyDescent="0.25">
      <c r="A253" t="s">
        <v>295</v>
      </c>
      <c r="B253" t="s">
        <v>30</v>
      </c>
      <c r="C253" s="17">
        <v>45778</v>
      </c>
      <c r="D253" t="s">
        <v>20</v>
      </c>
      <c r="E253" t="s">
        <v>82</v>
      </c>
      <c r="F253">
        <v>1430</v>
      </c>
      <c r="G253">
        <v>376</v>
      </c>
      <c r="H253">
        <v>33</v>
      </c>
      <c r="I253">
        <v>21450</v>
      </c>
      <c r="J253">
        <v>20509</v>
      </c>
      <c r="K253">
        <v>251</v>
      </c>
      <c r="L253" t="s">
        <v>51</v>
      </c>
      <c r="M253" t="s">
        <v>18</v>
      </c>
      <c r="N253" s="37">
        <f>(Table10_1[[#This Row],[Likes]]+Table10_1[[#This Row],[Shares]]+Table10_1[[#This Row],[Comments]])/Table10_1[[#This Row],[Impressions]]</f>
        <v>8.5734265734265735E-2</v>
      </c>
    </row>
    <row r="254" spans="1:14" x14ac:dyDescent="0.25">
      <c r="A254" t="s">
        <v>296</v>
      </c>
      <c r="B254" t="s">
        <v>14</v>
      </c>
      <c r="C254" s="17">
        <v>45776</v>
      </c>
      <c r="D254" t="s">
        <v>31</v>
      </c>
      <c r="E254" t="s">
        <v>102</v>
      </c>
      <c r="F254">
        <v>249</v>
      </c>
      <c r="G254">
        <v>592</v>
      </c>
      <c r="H254">
        <v>230</v>
      </c>
      <c r="I254">
        <v>1494</v>
      </c>
      <c r="J254">
        <v>1044</v>
      </c>
      <c r="K254">
        <v>201</v>
      </c>
      <c r="L254" t="s">
        <v>33</v>
      </c>
      <c r="M254" t="s">
        <v>34</v>
      </c>
      <c r="N254" s="37">
        <f>(Table10_1[[#This Row],[Likes]]+Table10_1[[#This Row],[Shares]]+Table10_1[[#This Row],[Comments]])/Table10_1[[#This Row],[Impressions]]</f>
        <v>0.7168674698795181</v>
      </c>
    </row>
    <row r="255" spans="1:14" x14ac:dyDescent="0.25">
      <c r="A255" t="s">
        <v>297</v>
      </c>
      <c r="B255" t="s">
        <v>38</v>
      </c>
      <c r="C255" s="17">
        <v>45724</v>
      </c>
      <c r="D255" t="s">
        <v>44</v>
      </c>
      <c r="E255" t="s">
        <v>49</v>
      </c>
      <c r="F255">
        <v>2382</v>
      </c>
      <c r="G255">
        <v>265</v>
      </c>
      <c r="H255">
        <v>134</v>
      </c>
      <c r="I255">
        <v>38112</v>
      </c>
      <c r="J255">
        <v>37437</v>
      </c>
      <c r="K255">
        <v>249</v>
      </c>
      <c r="L255" t="s">
        <v>51</v>
      </c>
      <c r="M255" t="s">
        <v>34</v>
      </c>
      <c r="N255" s="37">
        <f>(Table10_1[[#This Row],[Likes]]+Table10_1[[#This Row],[Shares]]+Table10_1[[#This Row],[Comments]])/Table10_1[[#This Row],[Impressions]]</f>
        <v>7.2969143576826198E-2</v>
      </c>
    </row>
    <row r="256" spans="1:14" x14ac:dyDescent="0.25">
      <c r="A256" t="s">
        <v>298</v>
      </c>
      <c r="B256" t="s">
        <v>38</v>
      </c>
      <c r="C256" s="17">
        <v>45444</v>
      </c>
      <c r="D256" t="s">
        <v>20</v>
      </c>
      <c r="E256" t="s">
        <v>47</v>
      </c>
      <c r="F256">
        <v>1272</v>
      </c>
      <c r="G256">
        <v>465</v>
      </c>
      <c r="H256">
        <v>99</v>
      </c>
      <c r="I256">
        <v>24168</v>
      </c>
      <c r="J256">
        <v>23719</v>
      </c>
      <c r="K256">
        <v>42</v>
      </c>
      <c r="L256" t="s">
        <v>27</v>
      </c>
      <c r="N256" s="37">
        <f>(Table10_1[[#This Row],[Likes]]+Table10_1[[#This Row],[Shares]]+Table10_1[[#This Row],[Comments]])/Table10_1[[#This Row],[Impressions]]</f>
        <v>7.5968222442899705E-2</v>
      </c>
    </row>
    <row r="257" spans="1:14" x14ac:dyDescent="0.25">
      <c r="A257" t="s">
        <v>299</v>
      </c>
      <c r="B257" t="s">
        <v>38</v>
      </c>
      <c r="C257" s="17">
        <v>45648</v>
      </c>
      <c r="D257" t="s">
        <v>44</v>
      </c>
      <c r="E257" t="s">
        <v>49</v>
      </c>
      <c r="F257">
        <v>3196</v>
      </c>
      <c r="G257">
        <v>941</v>
      </c>
      <c r="H257">
        <v>376</v>
      </c>
      <c r="I257">
        <v>35156</v>
      </c>
      <c r="J257">
        <v>34444</v>
      </c>
      <c r="K257">
        <v>241</v>
      </c>
      <c r="L257" t="s">
        <v>27</v>
      </c>
      <c r="M257" t="s">
        <v>28</v>
      </c>
      <c r="N257" s="37">
        <f>(Table10_1[[#This Row],[Likes]]+Table10_1[[#This Row],[Shares]]+Table10_1[[#This Row],[Comments]])/Table10_1[[#This Row],[Impressions]]</f>
        <v>0.1283706906360223</v>
      </c>
    </row>
    <row r="258" spans="1:14" x14ac:dyDescent="0.25">
      <c r="A258" t="s">
        <v>300</v>
      </c>
      <c r="B258" t="s">
        <v>38</v>
      </c>
      <c r="C258" s="17">
        <v>45523</v>
      </c>
      <c r="D258" t="s">
        <v>20</v>
      </c>
      <c r="E258" t="s">
        <v>47</v>
      </c>
      <c r="F258">
        <v>1257</v>
      </c>
      <c r="G258">
        <v>19</v>
      </c>
      <c r="H258">
        <v>351</v>
      </c>
      <c r="I258">
        <v>12570</v>
      </c>
      <c r="J258">
        <v>11660</v>
      </c>
      <c r="K258">
        <v>194</v>
      </c>
      <c r="L258" t="s">
        <v>51</v>
      </c>
      <c r="M258" t="s">
        <v>23</v>
      </c>
      <c r="N258" s="37">
        <f>(Table10_1[[#This Row],[Likes]]+Table10_1[[#This Row],[Shares]]+Table10_1[[#This Row],[Comments]])/Table10_1[[#This Row],[Impressions]]</f>
        <v>0.12943516308671441</v>
      </c>
    </row>
    <row r="259" spans="1:14" x14ac:dyDescent="0.25">
      <c r="A259" t="s">
        <v>300</v>
      </c>
      <c r="B259" t="s">
        <v>38</v>
      </c>
      <c r="C259" s="17">
        <v>45523</v>
      </c>
      <c r="D259" t="s">
        <v>20</v>
      </c>
      <c r="E259" t="s">
        <v>47</v>
      </c>
      <c r="F259">
        <v>1257</v>
      </c>
      <c r="G259">
        <v>19</v>
      </c>
      <c r="H259">
        <v>351</v>
      </c>
      <c r="I259">
        <v>12570</v>
      </c>
      <c r="J259">
        <v>11660</v>
      </c>
      <c r="K259">
        <v>194</v>
      </c>
      <c r="L259" t="s">
        <v>379</v>
      </c>
      <c r="M259" t="s">
        <v>23</v>
      </c>
      <c r="N259" s="37">
        <f>(Table10_1[[#This Row],[Likes]]+Table10_1[[#This Row],[Shares]]+Table10_1[[#This Row],[Comments]])/Table10_1[[#This Row],[Impressions]]</f>
        <v>0.12943516308671441</v>
      </c>
    </row>
    <row r="260" spans="1:14" x14ac:dyDescent="0.25">
      <c r="A260" t="s">
        <v>300</v>
      </c>
      <c r="B260" t="s">
        <v>38</v>
      </c>
      <c r="C260" s="17">
        <v>45523</v>
      </c>
      <c r="D260" t="s">
        <v>20</v>
      </c>
      <c r="E260" t="s">
        <v>47</v>
      </c>
      <c r="F260">
        <v>1257</v>
      </c>
      <c r="G260">
        <v>19</v>
      </c>
      <c r="H260">
        <v>351</v>
      </c>
      <c r="I260">
        <v>12570</v>
      </c>
      <c r="J260">
        <v>11660</v>
      </c>
      <c r="K260">
        <v>194</v>
      </c>
      <c r="L260" t="s">
        <v>33</v>
      </c>
      <c r="M260" t="s">
        <v>23</v>
      </c>
      <c r="N260" s="37">
        <f>(Table10_1[[#This Row],[Likes]]+Table10_1[[#This Row],[Shares]]+Table10_1[[#This Row],[Comments]])/Table10_1[[#This Row],[Impressions]]</f>
        <v>0.12943516308671441</v>
      </c>
    </row>
    <row r="261" spans="1:14" x14ac:dyDescent="0.25">
      <c r="A261" t="s">
        <v>302</v>
      </c>
      <c r="B261" t="s">
        <v>30</v>
      </c>
      <c r="C261" s="17">
        <v>45587</v>
      </c>
      <c r="D261" t="s">
        <v>31</v>
      </c>
      <c r="E261" t="s">
        <v>32</v>
      </c>
      <c r="F261">
        <v>3770</v>
      </c>
      <c r="G261">
        <v>917</v>
      </c>
      <c r="H261">
        <v>129</v>
      </c>
      <c r="I261">
        <v>71630</v>
      </c>
      <c r="J261">
        <v>71322</v>
      </c>
      <c r="K261">
        <v>76</v>
      </c>
      <c r="L261" t="s">
        <v>51</v>
      </c>
      <c r="M261" t="s">
        <v>18</v>
      </c>
      <c r="N261" s="37">
        <f>(Table10_1[[#This Row],[Likes]]+Table10_1[[#This Row],[Shares]]+Table10_1[[#This Row],[Comments]])/Table10_1[[#This Row],[Impressions]]</f>
        <v>6.7234398994834563E-2</v>
      </c>
    </row>
    <row r="262" spans="1:14" x14ac:dyDescent="0.25">
      <c r="A262" t="s">
        <v>303</v>
      </c>
      <c r="B262" t="s">
        <v>14</v>
      </c>
      <c r="C262" s="17">
        <v>45489</v>
      </c>
      <c r="D262" t="s">
        <v>20</v>
      </c>
      <c r="E262" t="s">
        <v>21</v>
      </c>
      <c r="F262">
        <v>4725</v>
      </c>
      <c r="G262">
        <v>400</v>
      </c>
      <c r="H262">
        <v>362</v>
      </c>
      <c r="I262">
        <v>75600</v>
      </c>
      <c r="J262">
        <v>74927</v>
      </c>
      <c r="K262">
        <v>43</v>
      </c>
      <c r="L262" t="s">
        <v>51</v>
      </c>
      <c r="M262" t="s">
        <v>34</v>
      </c>
      <c r="N262" s="37">
        <f>(Table10_1[[#This Row],[Likes]]+Table10_1[[#This Row],[Shares]]+Table10_1[[#This Row],[Comments]])/Table10_1[[#This Row],[Impressions]]</f>
        <v>7.2579365079365077E-2</v>
      </c>
    </row>
    <row r="263" spans="1:14" x14ac:dyDescent="0.25">
      <c r="A263" t="s">
        <v>304</v>
      </c>
      <c r="B263" t="s">
        <v>25</v>
      </c>
      <c r="C263" s="17">
        <v>45712</v>
      </c>
      <c r="D263" t="s">
        <v>20</v>
      </c>
      <c r="E263" t="s">
        <v>77</v>
      </c>
      <c r="F263">
        <v>4188</v>
      </c>
      <c r="G263">
        <v>942</v>
      </c>
      <c r="H263">
        <v>118</v>
      </c>
      <c r="I263">
        <v>20940</v>
      </c>
      <c r="J263">
        <v>20471</v>
      </c>
      <c r="K263">
        <v>102</v>
      </c>
      <c r="L263" t="s">
        <v>51</v>
      </c>
      <c r="N263" s="37">
        <f>(Table10_1[[#This Row],[Likes]]+Table10_1[[#This Row],[Shares]]+Table10_1[[#This Row],[Comments]])/Table10_1[[#This Row],[Impressions]]</f>
        <v>0.25062082139446035</v>
      </c>
    </row>
    <row r="264" spans="1:14" x14ac:dyDescent="0.25">
      <c r="A264" t="s">
        <v>305</v>
      </c>
      <c r="B264" t="s">
        <v>14</v>
      </c>
      <c r="C264" s="17">
        <v>45530</v>
      </c>
      <c r="D264" t="s">
        <v>39</v>
      </c>
      <c r="E264" t="s">
        <v>42</v>
      </c>
      <c r="F264">
        <v>929</v>
      </c>
      <c r="G264">
        <v>192</v>
      </c>
      <c r="H264">
        <v>322</v>
      </c>
      <c r="I264">
        <v>16722</v>
      </c>
      <c r="J264">
        <v>15996</v>
      </c>
      <c r="K264">
        <v>145</v>
      </c>
      <c r="L264" t="s">
        <v>33</v>
      </c>
      <c r="M264" t="s">
        <v>28</v>
      </c>
      <c r="N264" s="37">
        <f>(Table10_1[[#This Row],[Likes]]+Table10_1[[#This Row],[Shares]]+Table10_1[[#This Row],[Comments]])/Table10_1[[#This Row],[Impressions]]</f>
        <v>8.6293505561535699E-2</v>
      </c>
    </row>
    <row r="265" spans="1:14" x14ac:dyDescent="0.25">
      <c r="A265" t="s">
        <v>305</v>
      </c>
      <c r="B265" t="s">
        <v>14</v>
      </c>
      <c r="C265" s="17">
        <v>45530</v>
      </c>
      <c r="D265" t="s">
        <v>39</v>
      </c>
      <c r="E265" t="s">
        <v>42</v>
      </c>
      <c r="F265">
        <v>929</v>
      </c>
      <c r="G265">
        <v>192</v>
      </c>
      <c r="H265">
        <v>322</v>
      </c>
      <c r="I265">
        <v>16722</v>
      </c>
      <c r="J265">
        <v>15996</v>
      </c>
      <c r="K265">
        <v>145</v>
      </c>
      <c r="L265" t="s">
        <v>27</v>
      </c>
      <c r="M265" t="s">
        <v>28</v>
      </c>
      <c r="N265" s="37">
        <f>(Table10_1[[#This Row],[Likes]]+Table10_1[[#This Row],[Shares]]+Table10_1[[#This Row],[Comments]])/Table10_1[[#This Row],[Impressions]]</f>
        <v>8.6293505561535699E-2</v>
      </c>
    </row>
    <row r="266" spans="1:14" x14ac:dyDescent="0.25">
      <c r="A266" t="s">
        <v>305</v>
      </c>
      <c r="B266" t="s">
        <v>14</v>
      </c>
      <c r="C266" s="17">
        <v>45530</v>
      </c>
      <c r="D266" t="s">
        <v>39</v>
      </c>
      <c r="E266" t="s">
        <v>42</v>
      </c>
      <c r="F266">
        <v>929</v>
      </c>
      <c r="G266">
        <v>192</v>
      </c>
      <c r="H266">
        <v>322</v>
      </c>
      <c r="I266">
        <v>16722</v>
      </c>
      <c r="J266">
        <v>15996</v>
      </c>
      <c r="K266">
        <v>145</v>
      </c>
      <c r="L266" t="s">
        <v>379</v>
      </c>
      <c r="M266" t="s">
        <v>28</v>
      </c>
      <c r="N266" s="37">
        <f>(Table10_1[[#This Row],[Likes]]+Table10_1[[#This Row],[Shares]]+Table10_1[[#This Row],[Comments]])/Table10_1[[#This Row],[Impressions]]</f>
        <v>8.6293505561535699E-2</v>
      </c>
    </row>
    <row r="267" spans="1:14" x14ac:dyDescent="0.25">
      <c r="A267" t="s">
        <v>306</v>
      </c>
      <c r="B267" t="s">
        <v>38</v>
      </c>
      <c r="C267" s="17">
        <v>45675</v>
      </c>
      <c r="D267" t="s">
        <v>31</v>
      </c>
      <c r="E267" t="s">
        <v>57</v>
      </c>
      <c r="F267">
        <v>4321</v>
      </c>
      <c r="G267">
        <v>874</v>
      </c>
      <c r="H267">
        <v>172</v>
      </c>
      <c r="I267">
        <v>30247</v>
      </c>
      <c r="J267">
        <v>29254</v>
      </c>
      <c r="K267">
        <v>122</v>
      </c>
      <c r="L267" t="s">
        <v>27</v>
      </c>
      <c r="M267" t="s">
        <v>34</v>
      </c>
      <c r="N267" s="37">
        <f>(Table10_1[[#This Row],[Likes]]+Table10_1[[#This Row],[Shares]]+Table10_1[[#This Row],[Comments]])/Table10_1[[#This Row],[Impressions]]</f>
        <v>0.17743908486792079</v>
      </c>
    </row>
    <row r="268" spans="1:14" x14ac:dyDescent="0.25">
      <c r="A268" t="s">
        <v>307</v>
      </c>
      <c r="B268" t="s">
        <v>38</v>
      </c>
      <c r="C268" s="17">
        <v>45480</v>
      </c>
      <c r="D268" t="s">
        <v>15</v>
      </c>
      <c r="E268" t="s">
        <v>53</v>
      </c>
      <c r="F268">
        <v>4767</v>
      </c>
      <c r="G268">
        <v>190</v>
      </c>
      <c r="H268">
        <v>340</v>
      </c>
      <c r="I268">
        <v>28602</v>
      </c>
      <c r="J268">
        <v>28044</v>
      </c>
      <c r="K268">
        <v>210</v>
      </c>
      <c r="L268" t="s">
        <v>33</v>
      </c>
      <c r="M268" t="s">
        <v>28</v>
      </c>
      <c r="N268" s="37">
        <f>(Table10_1[[#This Row],[Likes]]+Table10_1[[#This Row],[Shares]]+Table10_1[[#This Row],[Comments]])/Table10_1[[#This Row],[Impressions]]</f>
        <v>0.18519683938186141</v>
      </c>
    </row>
    <row r="269" spans="1:14" x14ac:dyDescent="0.25">
      <c r="A269" t="s">
        <v>308</v>
      </c>
      <c r="B269" t="s">
        <v>14</v>
      </c>
      <c r="C269" s="17">
        <v>45722</v>
      </c>
      <c r="D269" t="s">
        <v>44</v>
      </c>
      <c r="E269" t="s">
        <v>92</v>
      </c>
      <c r="F269">
        <v>3592</v>
      </c>
      <c r="G269">
        <v>911</v>
      </c>
      <c r="H269">
        <v>375</v>
      </c>
      <c r="I269">
        <v>50288</v>
      </c>
      <c r="J269">
        <v>49490</v>
      </c>
      <c r="K269">
        <v>32</v>
      </c>
      <c r="L269" t="s">
        <v>51</v>
      </c>
      <c r="M269" t="s">
        <v>34</v>
      </c>
      <c r="N269" s="37">
        <f>(Table10_1[[#This Row],[Likes]]+Table10_1[[#This Row],[Shares]]+Table10_1[[#This Row],[Comments]])/Table10_1[[#This Row],[Impressions]]</f>
        <v>9.7001272669424113E-2</v>
      </c>
    </row>
    <row r="270" spans="1:14" x14ac:dyDescent="0.25">
      <c r="A270" t="s">
        <v>309</v>
      </c>
      <c r="B270" t="s">
        <v>25</v>
      </c>
      <c r="C270" s="17">
        <v>45590</v>
      </c>
      <c r="D270" t="s">
        <v>59</v>
      </c>
      <c r="E270" t="s">
        <v>143</v>
      </c>
      <c r="F270">
        <v>4661</v>
      </c>
      <c r="G270">
        <v>935</v>
      </c>
      <c r="H270">
        <v>433</v>
      </c>
      <c r="I270">
        <v>23305</v>
      </c>
      <c r="J270">
        <v>22583</v>
      </c>
      <c r="K270">
        <v>63</v>
      </c>
      <c r="L270" t="s">
        <v>51</v>
      </c>
      <c r="M270" t="s">
        <v>28</v>
      </c>
      <c r="N270" s="37">
        <f>(Table10_1[[#This Row],[Likes]]+Table10_1[[#This Row],[Shares]]+Table10_1[[#This Row],[Comments]])/Table10_1[[#This Row],[Impressions]]</f>
        <v>0.25869984981763572</v>
      </c>
    </row>
    <row r="271" spans="1:14" x14ac:dyDescent="0.25">
      <c r="A271" t="s">
        <v>310</v>
      </c>
      <c r="B271" t="s">
        <v>38</v>
      </c>
      <c r="C271" s="17">
        <v>45669</v>
      </c>
      <c r="D271" t="s">
        <v>15</v>
      </c>
      <c r="E271" t="s">
        <v>53</v>
      </c>
      <c r="F271">
        <v>4134</v>
      </c>
      <c r="G271">
        <v>824</v>
      </c>
      <c r="H271">
        <v>99</v>
      </c>
      <c r="I271">
        <v>41340</v>
      </c>
      <c r="J271">
        <v>41050</v>
      </c>
      <c r="K271">
        <v>177</v>
      </c>
      <c r="L271" t="s">
        <v>33</v>
      </c>
      <c r="M271" t="s">
        <v>18</v>
      </c>
      <c r="N271" s="37">
        <f>(Table10_1[[#This Row],[Likes]]+Table10_1[[#This Row],[Shares]]+Table10_1[[#This Row],[Comments]])/Table10_1[[#This Row],[Impressions]]</f>
        <v>0.12232704402515723</v>
      </c>
    </row>
    <row r="272" spans="1:14" x14ac:dyDescent="0.25">
      <c r="A272" t="s">
        <v>311</v>
      </c>
      <c r="B272" t="s">
        <v>38</v>
      </c>
      <c r="C272" s="17">
        <v>45576</v>
      </c>
      <c r="D272" t="s">
        <v>44</v>
      </c>
      <c r="E272" t="s">
        <v>49</v>
      </c>
      <c r="F272">
        <v>400</v>
      </c>
      <c r="G272">
        <v>680</v>
      </c>
      <c r="H272">
        <v>434</v>
      </c>
      <c r="I272">
        <v>6400</v>
      </c>
      <c r="J272">
        <v>5472</v>
      </c>
      <c r="K272">
        <v>160</v>
      </c>
      <c r="L272" t="s">
        <v>51</v>
      </c>
      <c r="M272" t="s">
        <v>23</v>
      </c>
      <c r="N272" s="37">
        <f>(Table10_1[[#This Row],[Likes]]+Table10_1[[#This Row],[Shares]]+Table10_1[[#This Row],[Comments]])/Table10_1[[#This Row],[Impressions]]</f>
        <v>0.23656250000000001</v>
      </c>
    </row>
    <row r="273" spans="1:14" x14ac:dyDescent="0.25">
      <c r="A273" t="s">
        <v>312</v>
      </c>
      <c r="B273" t="s">
        <v>38</v>
      </c>
      <c r="C273" s="17">
        <v>45531</v>
      </c>
      <c r="D273" t="s">
        <v>15</v>
      </c>
      <c r="E273" t="s">
        <v>53</v>
      </c>
      <c r="F273">
        <v>3960</v>
      </c>
      <c r="G273">
        <v>266</v>
      </c>
      <c r="H273">
        <v>8</v>
      </c>
      <c r="I273">
        <v>35640</v>
      </c>
      <c r="J273">
        <v>34850</v>
      </c>
      <c r="K273">
        <v>208</v>
      </c>
      <c r="L273" t="s">
        <v>51</v>
      </c>
      <c r="N273" s="37">
        <f>(Table10_1[[#This Row],[Likes]]+Table10_1[[#This Row],[Shares]]+Table10_1[[#This Row],[Comments]])/Table10_1[[#This Row],[Impressions]]</f>
        <v>0.11879910213243547</v>
      </c>
    </row>
    <row r="274" spans="1:14" x14ac:dyDescent="0.25">
      <c r="A274" t="s">
        <v>312</v>
      </c>
      <c r="B274" t="s">
        <v>38</v>
      </c>
      <c r="C274" s="17">
        <v>45531</v>
      </c>
      <c r="D274" t="s">
        <v>15</v>
      </c>
      <c r="E274" t="s">
        <v>53</v>
      </c>
      <c r="F274">
        <v>3960</v>
      </c>
      <c r="G274">
        <v>266</v>
      </c>
      <c r="H274">
        <v>8</v>
      </c>
      <c r="I274">
        <v>35640</v>
      </c>
      <c r="J274">
        <v>34850</v>
      </c>
      <c r="K274">
        <v>208</v>
      </c>
      <c r="L274" t="s">
        <v>33</v>
      </c>
      <c r="N274" s="37">
        <f>(Table10_1[[#This Row],[Likes]]+Table10_1[[#This Row],[Shares]]+Table10_1[[#This Row],[Comments]])/Table10_1[[#This Row],[Impressions]]</f>
        <v>0.11879910213243547</v>
      </c>
    </row>
    <row r="275" spans="1:14" x14ac:dyDescent="0.25">
      <c r="A275" t="s">
        <v>312</v>
      </c>
      <c r="B275" t="s">
        <v>38</v>
      </c>
      <c r="C275" s="17">
        <v>45531</v>
      </c>
      <c r="D275" t="s">
        <v>15</v>
      </c>
      <c r="E275" t="s">
        <v>53</v>
      </c>
      <c r="F275">
        <v>3960</v>
      </c>
      <c r="G275">
        <v>266</v>
      </c>
      <c r="H275">
        <v>8</v>
      </c>
      <c r="I275">
        <v>35640</v>
      </c>
      <c r="J275">
        <v>34850</v>
      </c>
      <c r="K275">
        <v>208</v>
      </c>
      <c r="L275" t="s">
        <v>380</v>
      </c>
      <c r="N275" s="37">
        <f>(Table10_1[[#This Row],[Likes]]+Table10_1[[#This Row],[Shares]]+Table10_1[[#This Row],[Comments]])/Table10_1[[#This Row],[Impressions]]</f>
        <v>0.11879910213243547</v>
      </c>
    </row>
    <row r="276" spans="1:14" x14ac:dyDescent="0.25">
      <c r="A276" t="s">
        <v>314</v>
      </c>
      <c r="B276" t="s">
        <v>38</v>
      </c>
      <c r="C276" s="17">
        <v>45690</v>
      </c>
      <c r="D276" t="s">
        <v>31</v>
      </c>
      <c r="E276" t="s">
        <v>57</v>
      </c>
      <c r="F276">
        <v>886</v>
      </c>
      <c r="G276">
        <v>126</v>
      </c>
      <c r="H276">
        <v>153</v>
      </c>
      <c r="I276">
        <v>4430</v>
      </c>
      <c r="J276">
        <v>4037</v>
      </c>
      <c r="K276">
        <v>212</v>
      </c>
      <c r="L276" t="s">
        <v>33</v>
      </c>
      <c r="N276" s="37">
        <f>(Table10_1[[#This Row],[Likes]]+Table10_1[[#This Row],[Shares]]+Table10_1[[#This Row],[Comments]])/Table10_1[[#This Row],[Impressions]]</f>
        <v>0.26297968397291194</v>
      </c>
    </row>
    <row r="277" spans="1:14" x14ac:dyDescent="0.25">
      <c r="A277" t="s">
        <v>315</v>
      </c>
      <c r="B277" t="s">
        <v>14</v>
      </c>
      <c r="C277" s="17">
        <v>45491</v>
      </c>
      <c r="D277" t="s">
        <v>44</v>
      </c>
      <c r="E277" t="s">
        <v>92</v>
      </c>
      <c r="F277">
        <v>827</v>
      </c>
      <c r="G277">
        <v>77</v>
      </c>
      <c r="H277">
        <v>402</v>
      </c>
      <c r="I277">
        <v>14886</v>
      </c>
      <c r="J277">
        <v>14129</v>
      </c>
      <c r="K277">
        <v>254</v>
      </c>
      <c r="L277" t="s">
        <v>33</v>
      </c>
      <c r="M277" t="s">
        <v>23</v>
      </c>
      <c r="N277" s="37">
        <f>(Table10_1[[#This Row],[Likes]]+Table10_1[[#This Row],[Shares]]+Table10_1[[#This Row],[Comments]])/Table10_1[[#This Row],[Impressions]]</f>
        <v>8.7733440816874911E-2</v>
      </c>
    </row>
    <row r="278" spans="1:14" x14ac:dyDescent="0.25">
      <c r="A278" t="s">
        <v>316</v>
      </c>
      <c r="B278" t="s">
        <v>38</v>
      </c>
      <c r="C278" s="17">
        <v>45465</v>
      </c>
      <c r="D278" t="s">
        <v>15</v>
      </c>
      <c r="E278" t="s">
        <v>53</v>
      </c>
      <c r="F278">
        <v>3813</v>
      </c>
      <c r="G278">
        <v>935</v>
      </c>
      <c r="H278">
        <v>274</v>
      </c>
      <c r="I278">
        <v>68634</v>
      </c>
      <c r="J278">
        <v>68488</v>
      </c>
      <c r="K278">
        <v>251</v>
      </c>
      <c r="L278" t="s">
        <v>51</v>
      </c>
      <c r="N278" s="37">
        <f>(Table10_1[[#This Row],[Likes]]+Table10_1[[#This Row],[Shares]]+Table10_1[[#This Row],[Comments]])/Table10_1[[#This Row],[Impressions]]</f>
        <v>7.3170731707317069E-2</v>
      </c>
    </row>
    <row r="279" spans="1:14" x14ac:dyDescent="0.25">
      <c r="A279" t="s">
        <v>317</v>
      </c>
      <c r="B279" t="s">
        <v>30</v>
      </c>
      <c r="C279" s="17">
        <v>45743</v>
      </c>
      <c r="D279" t="s">
        <v>39</v>
      </c>
      <c r="E279" t="s">
        <v>68</v>
      </c>
      <c r="F279">
        <v>1377</v>
      </c>
      <c r="G279">
        <v>796</v>
      </c>
      <c r="H279">
        <v>387</v>
      </c>
      <c r="I279">
        <v>22032</v>
      </c>
      <c r="J279">
        <v>21869</v>
      </c>
      <c r="K279">
        <v>189</v>
      </c>
      <c r="L279" t="s">
        <v>51</v>
      </c>
      <c r="N279" s="37">
        <f>(Table10_1[[#This Row],[Likes]]+Table10_1[[#This Row],[Shares]]+Table10_1[[#This Row],[Comments]])/Table10_1[[#This Row],[Impressions]]</f>
        <v>0.11619462599854757</v>
      </c>
    </row>
    <row r="280" spans="1:14" x14ac:dyDescent="0.25">
      <c r="A280" t="s">
        <v>318</v>
      </c>
      <c r="B280" t="s">
        <v>38</v>
      </c>
      <c r="C280" s="17">
        <v>45775</v>
      </c>
      <c r="D280" t="s">
        <v>39</v>
      </c>
      <c r="E280" t="s">
        <v>40</v>
      </c>
      <c r="F280">
        <v>2089</v>
      </c>
      <c r="G280">
        <v>476</v>
      </c>
      <c r="H280">
        <v>69</v>
      </c>
      <c r="I280">
        <v>16712</v>
      </c>
      <c r="J280">
        <v>16309</v>
      </c>
      <c r="K280">
        <v>64</v>
      </c>
      <c r="L280" t="s">
        <v>51</v>
      </c>
      <c r="M280" t="s">
        <v>28</v>
      </c>
      <c r="N280" s="37">
        <f>(Table10_1[[#This Row],[Likes]]+Table10_1[[#This Row],[Shares]]+Table10_1[[#This Row],[Comments]])/Table10_1[[#This Row],[Impressions]]</f>
        <v>0.15761129727142173</v>
      </c>
    </row>
    <row r="281" spans="1:14" x14ac:dyDescent="0.25">
      <c r="A281" t="s">
        <v>319</v>
      </c>
      <c r="B281" t="s">
        <v>14</v>
      </c>
      <c r="C281" s="17">
        <v>45507</v>
      </c>
      <c r="D281" t="s">
        <v>15</v>
      </c>
      <c r="E281" t="s">
        <v>16</v>
      </c>
      <c r="F281">
        <v>3791</v>
      </c>
      <c r="G281">
        <v>593</v>
      </c>
      <c r="H281">
        <v>228</v>
      </c>
      <c r="I281">
        <v>53074</v>
      </c>
      <c r="J281">
        <v>52613</v>
      </c>
      <c r="K281">
        <v>205</v>
      </c>
      <c r="L281" t="s">
        <v>33</v>
      </c>
      <c r="N281" s="37">
        <f>(Table10_1[[#This Row],[Likes]]+Table10_1[[#This Row],[Shares]]+Table10_1[[#This Row],[Comments]])/Table10_1[[#This Row],[Impressions]]</f>
        <v>8.6897539284772202E-2</v>
      </c>
    </row>
    <row r="282" spans="1:14" x14ac:dyDescent="0.25">
      <c r="A282" t="s">
        <v>320</v>
      </c>
      <c r="B282" t="s">
        <v>14</v>
      </c>
      <c r="C282" s="17">
        <v>45671</v>
      </c>
      <c r="D282" t="s">
        <v>44</v>
      </c>
      <c r="E282" t="s">
        <v>92</v>
      </c>
      <c r="F282">
        <v>2692</v>
      </c>
      <c r="G282">
        <v>115</v>
      </c>
      <c r="H282">
        <v>64</v>
      </c>
      <c r="I282">
        <v>21536</v>
      </c>
      <c r="J282">
        <v>21120</v>
      </c>
      <c r="K282">
        <v>224</v>
      </c>
      <c r="L282" t="s">
        <v>51</v>
      </c>
      <c r="M282" t="s">
        <v>23</v>
      </c>
      <c r="N282" s="37">
        <f>(Table10_1[[#This Row],[Likes]]+Table10_1[[#This Row],[Shares]]+Table10_1[[#This Row],[Comments]])/Table10_1[[#This Row],[Impressions]]</f>
        <v>0.13331166419019316</v>
      </c>
    </row>
    <row r="283" spans="1:14" x14ac:dyDescent="0.25">
      <c r="A283" t="s">
        <v>321</v>
      </c>
      <c r="B283" t="s">
        <v>38</v>
      </c>
      <c r="C283" s="17">
        <v>45750</v>
      </c>
      <c r="D283" t="s">
        <v>31</v>
      </c>
      <c r="E283" t="s">
        <v>57</v>
      </c>
      <c r="F283">
        <v>3767</v>
      </c>
      <c r="G283">
        <v>514</v>
      </c>
      <c r="H283">
        <v>238</v>
      </c>
      <c r="I283">
        <v>37670</v>
      </c>
      <c r="J283">
        <v>36807</v>
      </c>
      <c r="K283">
        <v>226</v>
      </c>
      <c r="L283" t="s">
        <v>51</v>
      </c>
      <c r="M283" t="s">
        <v>34</v>
      </c>
      <c r="N283" s="37">
        <f>(Table10_1[[#This Row],[Likes]]+Table10_1[[#This Row],[Shares]]+Table10_1[[#This Row],[Comments]])/Table10_1[[#This Row],[Impressions]]</f>
        <v>0.11996283514733209</v>
      </c>
    </row>
    <row r="284" spans="1:14" x14ac:dyDescent="0.25">
      <c r="A284" t="s">
        <v>322</v>
      </c>
      <c r="B284" t="s">
        <v>25</v>
      </c>
      <c r="C284" s="17">
        <v>45553</v>
      </c>
      <c r="D284" t="s">
        <v>39</v>
      </c>
      <c r="E284" t="s">
        <v>55</v>
      </c>
      <c r="F284">
        <v>2143</v>
      </c>
      <c r="G284">
        <v>12</v>
      </c>
      <c r="H284">
        <v>204</v>
      </c>
      <c r="I284">
        <v>40717</v>
      </c>
      <c r="J284">
        <v>40125</v>
      </c>
      <c r="K284">
        <v>248</v>
      </c>
      <c r="L284" t="s">
        <v>33</v>
      </c>
      <c r="M284" t="s">
        <v>23</v>
      </c>
      <c r="N284" s="37">
        <f>(Table10_1[[#This Row],[Likes]]+Table10_1[[#This Row],[Shares]]+Table10_1[[#This Row],[Comments]])/Table10_1[[#This Row],[Impressions]]</f>
        <v>5.7936488444630008E-2</v>
      </c>
    </row>
    <row r="285" spans="1:14" x14ac:dyDescent="0.25">
      <c r="A285" t="s">
        <v>323</v>
      </c>
      <c r="B285" t="s">
        <v>38</v>
      </c>
      <c r="C285" s="17">
        <v>45753</v>
      </c>
      <c r="D285" t="s">
        <v>44</v>
      </c>
      <c r="E285" t="s">
        <v>49</v>
      </c>
      <c r="F285">
        <v>3090</v>
      </c>
      <c r="G285">
        <v>697</v>
      </c>
      <c r="H285">
        <v>164</v>
      </c>
      <c r="I285">
        <v>49440</v>
      </c>
      <c r="J285">
        <v>48524</v>
      </c>
      <c r="K285">
        <v>25</v>
      </c>
      <c r="L285" t="s">
        <v>33</v>
      </c>
      <c r="M285" t="s">
        <v>23</v>
      </c>
      <c r="N285" s="37">
        <f>(Table10_1[[#This Row],[Likes]]+Table10_1[[#This Row],[Shares]]+Table10_1[[#This Row],[Comments]])/Table10_1[[#This Row],[Impressions]]</f>
        <v>7.9915048543689318E-2</v>
      </c>
    </row>
    <row r="286" spans="1:14" x14ac:dyDescent="0.25">
      <c r="A286" t="s">
        <v>323</v>
      </c>
      <c r="B286" t="s">
        <v>38</v>
      </c>
      <c r="C286" s="17">
        <v>45753</v>
      </c>
      <c r="D286" t="s">
        <v>44</v>
      </c>
      <c r="E286" t="s">
        <v>49</v>
      </c>
      <c r="F286">
        <v>3090</v>
      </c>
      <c r="G286">
        <v>697</v>
      </c>
      <c r="H286">
        <v>164</v>
      </c>
      <c r="I286">
        <v>49440</v>
      </c>
      <c r="J286">
        <v>48524</v>
      </c>
      <c r="K286">
        <v>25</v>
      </c>
      <c r="L286" t="s">
        <v>33</v>
      </c>
      <c r="M286" t="s">
        <v>23</v>
      </c>
      <c r="N286" s="37">
        <f>(Table10_1[[#This Row],[Likes]]+Table10_1[[#This Row],[Shares]]+Table10_1[[#This Row],[Comments]])/Table10_1[[#This Row],[Impressions]]</f>
        <v>7.9915048543689318E-2</v>
      </c>
    </row>
    <row r="287" spans="1:14" x14ac:dyDescent="0.25">
      <c r="A287" t="s">
        <v>323</v>
      </c>
      <c r="B287" t="s">
        <v>38</v>
      </c>
      <c r="C287" s="17">
        <v>45753</v>
      </c>
      <c r="D287" t="s">
        <v>44</v>
      </c>
      <c r="E287" t="s">
        <v>49</v>
      </c>
      <c r="F287">
        <v>3090</v>
      </c>
      <c r="G287">
        <v>697</v>
      </c>
      <c r="H287">
        <v>164</v>
      </c>
      <c r="I287">
        <v>49440</v>
      </c>
      <c r="J287">
        <v>48524</v>
      </c>
      <c r="K287">
        <v>25</v>
      </c>
      <c r="L287" t="s">
        <v>380</v>
      </c>
      <c r="M287" t="s">
        <v>23</v>
      </c>
      <c r="N287" s="37">
        <f>(Table10_1[[#This Row],[Likes]]+Table10_1[[#This Row],[Shares]]+Table10_1[[#This Row],[Comments]])/Table10_1[[#This Row],[Impressions]]</f>
        <v>7.9915048543689318E-2</v>
      </c>
    </row>
    <row r="288" spans="1:14" x14ac:dyDescent="0.25">
      <c r="A288" t="s">
        <v>325</v>
      </c>
      <c r="B288" t="s">
        <v>30</v>
      </c>
      <c r="C288" s="17">
        <v>45509</v>
      </c>
      <c r="D288" t="s">
        <v>31</v>
      </c>
      <c r="E288" t="s">
        <v>32</v>
      </c>
      <c r="F288">
        <v>3601</v>
      </c>
      <c r="G288">
        <v>695</v>
      </c>
      <c r="H288">
        <v>75</v>
      </c>
      <c r="I288">
        <v>21606</v>
      </c>
      <c r="J288">
        <v>21454</v>
      </c>
      <c r="K288">
        <v>172</v>
      </c>
      <c r="L288" t="s">
        <v>33</v>
      </c>
      <c r="M288" t="s">
        <v>23</v>
      </c>
      <c r="N288" s="37">
        <f>(Table10_1[[#This Row],[Likes]]+Table10_1[[#This Row],[Shares]]+Table10_1[[#This Row],[Comments]])/Table10_1[[#This Row],[Impressions]]</f>
        <v>0.2023049153013052</v>
      </c>
    </row>
    <row r="289" spans="1:14" x14ac:dyDescent="0.25">
      <c r="A289" t="s">
        <v>326</v>
      </c>
      <c r="B289" t="s">
        <v>38</v>
      </c>
      <c r="C289" s="17">
        <v>45698</v>
      </c>
      <c r="D289" t="s">
        <v>20</v>
      </c>
      <c r="E289" t="s">
        <v>47</v>
      </c>
      <c r="F289">
        <v>562</v>
      </c>
      <c r="G289">
        <v>158</v>
      </c>
      <c r="H289">
        <v>149</v>
      </c>
      <c r="I289">
        <v>3372</v>
      </c>
      <c r="J289">
        <v>2940</v>
      </c>
      <c r="K289">
        <v>93</v>
      </c>
      <c r="L289" t="s">
        <v>27</v>
      </c>
      <c r="M289" t="s">
        <v>18</v>
      </c>
      <c r="N289" s="37">
        <f>(Table10_1[[#This Row],[Likes]]+Table10_1[[#This Row],[Shares]]+Table10_1[[#This Row],[Comments]])/Table10_1[[#This Row],[Impressions]]</f>
        <v>0.25771055753262156</v>
      </c>
    </row>
    <row r="290" spans="1:14" x14ac:dyDescent="0.25">
      <c r="A290" t="s">
        <v>327</v>
      </c>
      <c r="B290" t="s">
        <v>30</v>
      </c>
      <c r="C290" s="17">
        <v>45700</v>
      </c>
      <c r="D290" t="s">
        <v>31</v>
      </c>
      <c r="E290" t="s">
        <v>32</v>
      </c>
      <c r="F290">
        <v>4332</v>
      </c>
      <c r="G290">
        <v>771</v>
      </c>
      <c r="H290">
        <v>219</v>
      </c>
      <c r="I290">
        <v>60648</v>
      </c>
      <c r="J290">
        <v>60397</v>
      </c>
      <c r="K290">
        <v>10</v>
      </c>
      <c r="L290" t="s">
        <v>27</v>
      </c>
      <c r="M290" t="s">
        <v>28</v>
      </c>
      <c r="N290" s="37">
        <f>(Table10_1[[#This Row],[Likes]]+Table10_1[[#This Row],[Shares]]+Table10_1[[#This Row],[Comments]])/Table10_1[[#This Row],[Impressions]]</f>
        <v>8.7752275425405618E-2</v>
      </c>
    </row>
    <row r="291" spans="1:14" x14ac:dyDescent="0.25">
      <c r="A291" t="s">
        <v>327</v>
      </c>
      <c r="B291" t="s">
        <v>30</v>
      </c>
      <c r="C291" s="17">
        <v>45700</v>
      </c>
      <c r="D291" t="s">
        <v>31</v>
      </c>
      <c r="E291" t="s">
        <v>32</v>
      </c>
      <c r="F291">
        <v>4332</v>
      </c>
      <c r="G291">
        <v>771</v>
      </c>
      <c r="H291">
        <v>219</v>
      </c>
      <c r="I291">
        <v>60648</v>
      </c>
      <c r="J291">
        <v>60397</v>
      </c>
      <c r="K291">
        <v>10</v>
      </c>
      <c r="L291" t="s">
        <v>33</v>
      </c>
      <c r="M291" t="s">
        <v>28</v>
      </c>
      <c r="N291" s="37">
        <f>(Table10_1[[#This Row],[Likes]]+Table10_1[[#This Row],[Shares]]+Table10_1[[#This Row],[Comments]])/Table10_1[[#This Row],[Impressions]]</f>
        <v>8.7752275425405618E-2</v>
      </c>
    </row>
    <row r="292" spans="1:14" x14ac:dyDescent="0.25">
      <c r="A292" t="s">
        <v>327</v>
      </c>
      <c r="B292" t="s">
        <v>30</v>
      </c>
      <c r="C292" s="17">
        <v>45700</v>
      </c>
      <c r="D292" t="s">
        <v>31</v>
      </c>
      <c r="E292" t="s">
        <v>32</v>
      </c>
      <c r="F292">
        <v>4332</v>
      </c>
      <c r="G292">
        <v>771</v>
      </c>
      <c r="H292">
        <v>219</v>
      </c>
      <c r="I292">
        <v>60648</v>
      </c>
      <c r="J292">
        <v>60397</v>
      </c>
      <c r="K292">
        <v>10</v>
      </c>
      <c r="L292" t="s">
        <v>380</v>
      </c>
      <c r="M292" t="s">
        <v>28</v>
      </c>
      <c r="N292" s="37">
        <f>(Table10_1[[#This Row],[Likes]]+Table10_1[[#This Row],[Shares]]+Table10_1[[#This Row],[Comments]])/Table10_1[[#This Row],[Impressions]]</f>
        <v>8.7752275425405618E-2</v>
      </c>
    </row>
    <row r="293" spans="1:14" x14ac:dyDescent="0.25">
      <c r="A293" t="s">
        <v>329</v>
      </c>
      <c r="B293" t="s">
        <v>30</v>
      </c>
      <c r="C293" s="17">
        <v>45592</v>
      </c>
      <c r="D293" t="s">
        <v>44</v>
      </c>
      <c r="E293" t="s">
        <v>140</v>
      </c>
      <c r="F293">
        <v>4853</v>
      </c>
      <c r="G293">
        <v>837</v>
      </c>
      <c r="H293">
        <v>340</v>
      </c>
      <c r="I293">
        <v>72795</v>
      </c>
      <c r="J293">
        <v>72237</v>
      </c>
      <c r="K293">
        <v>170</v>
      </c>
      <c r="L293" t="s">
        <v>33</v>
      </c>
      <c r="M293" t="s">
        <v>18</v>
      </c>
      <c r="N293" s="37">
        <f>(Table10_1[[#This Row],[Likes]]+Table10_1[[#This Row],[Shares]]+Table10_1[[#This Row],[Comments]])/Table10_1[[#This Row],[Impressions]]</f>
        <v>8.2835359571399134E-2</v>
      </c>
    </row>
    <row r="294" spans="1:14" x14ac:dyDescent="0.25">
      <c r="A294" t="s">
        <v>330</v>
      </c>
      <c r="B294" t="s">
        <v>25</v>
      </c>
      <c r="C294" s="17">
        <v>45675</v>
      </c>
      <c r="D294" t="s">
        <v>44</v>
      </c>
      <c r="E294" t="s">
        <v>45</v>
      </c>
      <c r="F294">
        <v>1206</v>
      </c>
      <c r="G294">
        <v>238</v>
      </c>
      <c r="H294">
        <v>36</v>
      </c>
      <c r="I294">
        <v>9648</v>
      </c>
      <c r="J294">
        <v>9417</v>
      </c>
      <c r="K294">
        <v>237</v>
      </c>
      <c r="L294" t="s">
        <v>27</v>
      </c>
      <c r="N294" s="37">
        <f>(Table10_1[[#This Row],[Likes]]+Table10_1[[#This Row],[Shares]]+Table10_1[[#This Row],[Comments]])/Table10_1[[#This Row],[Impressions]]</f>
        <v>0.15339966832504145</v>
      </c>
    </row>
    <row r="295" spans="1:14" x14ac:dyDescent="0.25">
      <c r="A295" t="s">
        <v>331</v>
      </c>
      <c r="B295" t="s">
        <v>30</v>
      </c>
      <c r="C295" s="17">
        <v>45524</v>
      </c>
      <c r="D295" t="s">
        <v>15</v>
      </c>
      <c r="E295" t="s">
        <v>64</v>
      </c>
      <c r="F295">
        <v>2603</v>
      </c>
      <c r="G295">
        <v>690</v>
      </c>
      <c r="H295">
        <v>205</v>
      </c>
      <c r="I295">
        <v>13015</v>
      </c>
      <c r="J295">
        <v>12130</v>
      </c>
      <c r="K295">
        <v>20</v>
      </c>
      <c r="L295" t="s">
        <v>51</v>
      </c>
      <c r="M295" t="s">
        <v>23</v>
      </c>
      <c r="N295" s="37">
        <f>(Table10_1[[#This Row],[Likes]]+Table10_1[[#This Row],[Shares]]+Table10_1[[#This Row],[Comments]])/Table10_1[[#This Row],[Impressions]]</f>
        <v>0.26876680752977333</v>
      </c>
    </row>
    <row r="296" spans="1:14" x14ac:dyDescent="0.25">
      <c r="A296" t="s">
        <v>332</v>
      </c>
      <c r="B296" t="s">
        <v>14</v>
      </c>
      <c r="C296" s="17">
        <v>45687</v>
      </c>
      <c r="D296" t="s">
        <v>44</v>
      </c>
      <c r="E296" t="s">
        <v>92</v>
      </c>
      <c r="F296">
        <v>59</v>
      </c>
      <c r="G296">
        <v>163</v>
      </c>
      <c r="H296">
        <v>93</v>
      </c>
      <c r="I296">
        <v>590</v>
      </c>
      <c r="J296">
        <v>475</v>
      </c>
      <c r="K296">
        <v>293</v>
      </c>
      <c r="L296" t="s">
        <v>27</v>
      </c>
      <c r="M296" t="s">
        <v>23</v>
      </c>
      <c r="N296" s="37">
        <f>(Table10_1[[#This Row],[Likes]]+Table10_1[[#This Row],[Shares]]+Table10_1[[#This Row],[Comments]])/Table10_1[[#This Row],[Impressions]]</f>
        <v>0.53389830508474578</v>
      </c>
    </row>
    <row r="297" spans="1:14" x14ac:dyDescent="0.25">
      <c r="A297" t="s">
        <v>333</v>
      </c>
      <c r="B297" t="s">
        <v>14</v>
      </c>
      <c r="C297" s="17">
        <v>45708</v>
      </c>
      <c r="D297" t="s">
        <v>39</v>
      </c>
      <c r="E297" t="s">
        <v>42</v>
      </c>
      <c r="F297">
        <v>1877</v>
      </c>
      <c r="G297">
        <v>745</v>
      </c>
      <c r="H297">
        <v>225</v>
      </c>
      <c r="I297">
        <v>11262</v>
      </c>
      <c r="J297">
        <v>10967</v>
      </c>
      <c r="K297">
        <v>41</v>
      </c>
      <c r="L297" t="s">
        <v>33</v>
      </c>
      <c r="M297" t="s">
        <v>34</v>
      </c>
      <c r="N297" s="37">
        <f>(Table10_1[[#This Row],[Likes]]+Table10_1[[#This Row],[Shares]]+Table10_1[[#This Row],[Comments]])/Table10_1[[#This Row],[Impressions]]</f>
        <v>0.25279701651571657</v>
      </c>
    </row>
    <row r="298" spans="1:14" x14ac:dyDescent="0.25">
      <c r="A298" t="s">
        <v>334</v>
      </c>
      <c r="B298" t="s">
        <v>38</v>
      </c>
      <c r="C298" s="17">
        <v>45621</v>
      </c>
      <c r="D298" t="s">
        <v>31</v>
      </c>
      <c r="E298" t="s">
        <v>57</v>
      </c>
      <c r="F298">
        <v>4182</v>
      </c>
      <c r="G298">
        <v>640</v>
      </c>
      <c r="H298">
        <v>240</v>
      </c>
      <c r="I298">
        <v>50184</v>
      </c>
      <c r="J298">
        <v>49351</v>
      </c>
      <c r="K298">
        <v>10</v>
      </c>
      <c r="L298" t="s">
        <v>27</v>
      </c>
      <c r="M298" t="s">
        <v>28</v>
      </c>
      <c r="N298" s="37">
        <f>(Table10_1[[#This Row],[Likes]]+Table10_1[[#This Row],[Shares]]+Table10_1[[#This Row],[Comments]])/Table10_1[[#This Row],[Impressions]]</f>
        <v>0.10086880280567512</v>
      </c>
    </row>
    <row r="299" spans="1:14" x14ac:dyDescent="0.25">
      <c r="A299" t="s">
        <v>335</v>
      </c>
      <c r="B299" t="s">
        <v>14</v>
      </c>
      <c r="C299" s="17">
        <v>45569</v>
      </c>
      <c r="D299" t="s">
        <v>15</v>
      </c>
      <c r="E299" t="s">
        <v>16</v>
      </c>
      <c r="F299">
        <v>4187</v>
      </c>
      <c r="G299">
        <v>66</v>
      </c>
      <c r="H299">
        <v>31</v>
      </c>
      <c r="I299">
        <v>66992</v>
      </c>
      <c r="J299">
        <v>66614</v>
      </c>
      <c r="K299">
        <v>62</v>
      </c>
      <c r="L299" t="s">
        <v>51</v>
      </c>
      <c r="N299" s="37">
        <f>(Table10_1[[#This Row],[Likes]]+Table10_1[[#This Row],[Shares]]+Table10_1[[#This Row],[Comments]])/Table10_1[[#This Row],[Impressions]]</f>
        <v>6.3947934081681396E-2</v>
      </c>
    </row>
    <row r="300" spans="1:14" x14ac:dyDescent="0.25">
      <c r="A300" t="s">
        <v>336</v>
      </c>
      <c r="B300" t="s">
        <v>30</v>
      </c>
      <c r="C300" s="17">
        <v>45760</v>
      </c>
      <c r="D300" t="s">
        <v>15</v>
      </c>
      <c r="E300" t="s">
        <v>64</v>
      </c>
      <c r="F300">
        <v>4579</v>
      </c>
      <c r="G300">
        <v>125</v>
      </c>
      <c r="H300">
        <v>300</v>
      </c>
      <c r="I300">
        <v>59527</v>
      </c>
      <c r="J300">
        <v>59400</v>
      </c>
      <c r="K300">
        <v>269</v>
      </c>
      <c r="L300" t="s">
        <v>33</v>
      </c>
      <c r="M300" t="s">
        <v>18</v>
      </c>
      <c r="N300" s="37">
        <f>(Table10_1[[#This Row],[Likes]]+Table10_1[[#This Row],[Shares]]+Table10_1[[#This Row],[Comments]])/Table10_1[[#This Row],[Impressions]]</f>
        <v>8.4062694239588759E-2</v>
      </c>
    </row>
    <row r="301" spans="1:14" x14ac:dyDescent="0.25">
      <c r="A301" t="s">
        <v>337</v>
      </c>
      <c r="B301" t="s">
        <v>30</v>
      </c>
      <c r="C301" s="17">
        <v>45601</v>
      </c>
      <c r="D301" t="s">
        <v>59</v>
      </c>
      <c r="E301" t="s">
        <v>66</v>
      </c>
      <c r="F301">
        <v>4561</v>
      </c>
      <c r="G301">
        <v>51</v>
      </c>
      <c r="H301">
        <v>441</v>
      </c>
      <c r="I301">
        <v>22805</v>
      </c>
      <c r="J301">
        <v>21890</v>
      </c>
      <c r="K301">
        <v>45</v>
      </c>
      <c r="L301" t="s">
        <v>27</v>
      </c>
      <c r="M301" t="s">
        <v>23</v>
      </c>
      <c r="N301" s="37">
        <f>(Table10_1[[#This Row],[Likes]]+Table10_1[[#This Row],[Shares]]+Table10_1[[#This Row],[Comments]])/Table10_1[[#This Row],[Impressions]]</f>
        <v>0.22157421618066214</v>
      </c>
    </row>
    <row r="302" spans="1:14" x14ac:dyDescent="0.25">
      <c r="A302" t="s">
        <v>338</v>
      </c>
      <c r="B302" t="s">
        <v>25</v>
      </c>
      <c r="C302" s="17">
        <v>45672</v>
      </c>
      <c r="D302" t="s">
        <v>15</v>
      </c>
      <c r="E302" t="s">
        <v>26</v>
      </c>
      <c r="F302">
        <v>3774</v>
      </c>
      <c r="G302">
        <v>239</v>
      </c>
      <c r="H302">
        <v>39</v>
      </c>
      <c r="I302">
        <v>60384</v>
      </c>
      <c r="J302">
        <v>59490</v>
      </c>
      <c r="K302">
        <v>241</v>
      </c>
      <c r="L302" t="s">
        <v>27</v>
      </c>
      <c r="M302" t="s">
        <v>28</v>
      </c>
      <c r="N302" s="37">
        <f>(Table10_1[[#This Row],[Likes]]+Table10_1[[#This Row],[Shares]]+Table10_1[[#This Row],[Comments]])/Table10_1[[#This Row],[Impressions]]</f>
        <v>6.7103868574456813E-2</v>
      </c>
    </row>
    <row r="303" spans="1:14" x14ac:dyDescent="0.25">
      <c r="A303" t="s">
        <v>339</v>
      </c>
      <c r="B303" t="s">
        <v>30</v>
      </c>
      <c r="C303" s="17">
        <v>45582</v>
      </c>
      <c r="D303" t="s">
        <v>59</v>
      </c>
      <c r="E303" t="s">
        <v>66</v>
      </c>
      <c r="F303">
        <v>3575</v>
      </c>
      <c r="G303">
        <v>749</v>
      </c>
      <c r="H303">
        <v>111</v>
      </c>
      <c r="I303">
        <v>21450</v>
      </c>
      <c r="J303">
        <v>20785</v>
      </c>
      <c r="K303">
        <v>195</v>
      </c>
      <c r="L303" t="s">
        <v>33</v>
      </c>
      <c r="M303" t="s">
        <v>23</v>
      </c>
      <c r="N303" s="37">
        <f>(Table10_1[[#This Row],[Likes]]+Table10_1[[#This Row],[Shares]]+Table10_1[[#This Row],[Comments]])/Table10_1[[#This Row],[Impressions]]</f>
        <v>0.20675990675990677</v>
      </c>
    </row>
    <row r="304" spans="1:14" x14ac:dyDescent="0.25">
      <c r="A304" t="s">
        <v>340</v>
      </c>
      <c r="B304" t="s">
        <v>30</v>
      </c>
      <c r="C304" s="17">
        <v>45743</v>
      </c>
      <c r="D304" t="s">
        <v>20</v>
      </c>
      <c r="E304" t="s">
        <v>82</v>
      </c>
      <c r="F304">
        <v>4941</v>
      </c>
      <c r="G304">
        <v>414</v>
      </c>
      <c r="H304">
        <v>266</v>
      </c>
      <c r="I304">
        <v>39528</v>
      </c>
      <c r="J304">
        <v>39154</v>
      </c>
      <c r="K304">
        <v>217</v>
      </c>
      <c r="L304" t="s">
        <v>27</v>
      </c>
      <c r="M304" t="s">
        <v>28</v>
      </c>
      <c r="N304" s="37">
        <f>(Table10_1[[#This Row],[Likes]]+Table10_1[[#This Row],[Shares]]+Table10_1[[#This Row],[Comments]])/Table10_1[[#This Row],[Impressions]]</f>
        <v>0.14220299534507186</v>
      </c>
    </row>
    <row r="305" spans="1:14" x14ac:dyDescent="0.25">
      <c r="A305" t="s">
        <v>341</v>
      </c>
      <c r="B305" t="s">
        <v>25</v>
      </c>
      <c r="C305" s="17">
        <v>45577</v>
      </c>
      <c r="D305" t="s">
        <v>31</v>
      </c>
      <c r="E305" t="s">
        <v>105</v>
      </c>
      <c r="F305">
        <v>3641</v>
      </c>
      <c r="G305">
        <v>226</v>
      </c>
      <c r="H305">
        <v>46</v>
      </c>
      <c r="I305">
        <v>40051</v>
      </c>
      <c r="J305">
        <v>39319</v>
      </c>
      <c r="K305">
        <v>296</v>
      </c>
      <c r="L305" t="s">
        <v>33</v>
      </c>
      <c r="M305" t="s">
        <v>34</v>
      </c>
      <c r="N305" s="37">
        <f>(Table10_1[[#This Row],[Likes]]+Table10_1[[#This Row],[Shares]]+Table10_1[[#This Row],[Comments]])/Table10_1[[#This Row],[Impressions]]</f>
        <v>9.7700431949264685E-2</v>
      </c>
    </row>
    <row r="306" spans="1:14" x14ac:dyDescent="0.25">
      <c r="A306" t="s">
        <v>342</v>
      </c>
      <c r="B306" t="s">
        <v>14</v>
      </c>
      <c r="C306" s="17">
        <v>45658</v>
      </c>
      <c r="D306" t="s">
        <v>39</v>
      </c>
      <c r="E306" t="s">
        <v>42</v>
      </c>
      <c r="F306">
        <v>3535</v>
      </c>
      <c r="G306">
        <v>494</v>
      </c>
      <c r="H306">
        <v>152</v>
      </c>
      <c r="I306">
        <v>53025</v>
      </c>
      <c r="J306">
        <v>52791</v>
      </c>
      <c r="K306">
        <v>44</v>
      </c>
      <c r="L306" t="s">
        <v>27</v>
      </c>
      <c r="M306" t="s">
        <v>34</v>
      </c>
      <c r="N306" s="37">
        <f>(Table10_1[[#This Row],[Likes]]+Table10_1[[#This Row],[Shares]]+Table10_1[[#This Row],[Comments]])/Table10_1[[#This Row],[Impressions]]</f>
        <v>7.8849599245638849E-2</v>
      </c>
    </row>
    <row r="307" spans="1:14" x14ac:dyDescent="0.25">
      <c r="A307" t="s">
        <v>343</v>
      </c>
      <c r="B307" t="s">
        <v>38</v>
      </c>
      <c r="C307" s="17">
        <v>45509</v>
      </c>
      <c r="D307" t="s">
        <v>15</v>
      </c>
      <c r="E307" t="s">
        <v>53</v>
      </c>
      <c r="F307">
        <v>1741</v>
      </c>
      <c r="G307">
        <v>831</v>
      </c>
      <c r="H307">
        <v>345</v>
      </c>
      <c r="I307">
        <v>17410</v>
      </c>
      <c r="J307">
        <v>16844</v>
      </c>
      <c r="K307">
        <v>58</v>
      </c>
      <c r="L307" t="s">
        <v>33</v>
      </c>
      <c r="M307" t="s">
        <v>28</v>
      </c>
      <c r="N307" s="37">
        <f>(Table10_1[[#This Row],[Likes]]+Table10_1[[#This Row],[Shares]]+Table10_1[[#This Row],[Comments]])/Table10_1[[#This Row],[Impressions]]</f>
        <v>0.16754738655944859</v>
      </c>
    </row>
    <row r="308" spans="1:14" x14ac:dyDescent="0.25">
      <c r="A308" t="s">
        <v>344</v>
      </c>
      <c r="B308" t="s">
        <v>14</v>
      </c>
      <c r="C308" s="17">
        <v>45450</v>
      </c>
      <c r="D308" t="s">
        <v>39</v>
      </c>
      <c r="E308" t="s">
        <v>42</v>
      </c>
      <c r="F308">
        <v>1556</v>
      </c>
      <c r="G308">
        <v>195</v>
      </c>
      <c r="H308">
        <v>131</v>
      </c>
      <c r="I308">
        <v>9336</v>
      </c>
      <c r="J308">
        <v>8875</v>
      </c>
      <c r="K308">
        <v>137</v>
      </c>
      <c r="L308" t="s">
        <v>27</v>
      </c>
      <c r="M308" t="s">
        <v>23</v>
      </c>
      <c r="N308" s="37">
        <f>(Table10_1[[#This Row],[Likes]]+Table10_1[[#This Row],[Shares]]+Table10_1[[#This Row],[Comments]])/Table10_1[[#This Row],[Impressions]]</f>
        <v>0.2015852613538989</v>
      </c>
    </row>
    <row r="309" spans="1:14" x14ac:dyDescent="0.25">
      <c r="A309" t="s">
        <v>345</v>
      </c>
      <c r="B309" t="s">
        <v>38</v>
      </c>
      <c r="C309" s="17">
        <v>45753</v>
      </c>
      <c r="D309" t="s">
        <v>44</v>
      </c>
      <c r="E309" t="s">
        <v>49</v>
      </c>
      <c r="F309">
        <v>4236</v>
      </c>
      <c r="G309">
        <v>711</v>
      </c>
      <c r="H309">
        <v>298</v>
      </c>
      <c r="I309">
        <v>21180</v>
      </c>
      <c r="J309">
        <v>20516</v>
      </c>
      <c r="K309">
        <v>238</v>
      </c>
      <c r="L309" t="s">
        <v>51</v>
      </c>
      <c r="M309" t="s">
        <v>18</v>
      </c>
      <c r="N309" s="37">
        <f>(Table10_1[[#This Row],[Likes]]+Table10_1[[#This Row],[Shares]]+Table10_1[[#This Row],[Comments]])/Table10_1[[#This Row],[Impressions]]</f>
        <v>0.24763928234183191</v>
      </c>
    </row>
    <row r="310" spans="1:14" x14ac:dyDescent="0.25">
      <c r="A310" t="s">
        <v>346</v>
      </c>
      <c r="B310" t="s">
        <v>14</v>
      </c>
      <c r="C310" s="17">
        <v>45622</v>
      </c>
      <c r="D310" t="s">
        <v>20</v>
      </c>
      <c r="E310" t="s">
        <v>21</v>
      </c>
      <c r="F310">
        <v>4516</v>
      </c>
      <c r="G310">
        <v>836</v>
      </c>
      <c r="H310">
        <v>169</v>
      </c>
      <c r="I310">
        <v>49676</v>
      </c>
      <c r="J310">
        <v>49257</v>
      </c>
      <c r="K310">
        <v>282</v>
      </c>
      <c r="L310" t="s">
        <v>33</v>
      </c>
      <c r="M310" t="s">
        <v>34</v>
      </c>
      <c r="N310" s="37">
        <f>(Table10_1[[#This Row],[Likes]]+Table10_1[[#This Row],[Shares]]+Table10_1[[#This Row],[Comments]])/Table10_1[[#This Row],[Impressions]]</f>
        <v>0.11114018842096787</v>
      </c>
    </row>
    <row r="311" spans="1:14" x14ac:dyDescent="0.25">
      <c r="A311" t="s">
        <v>347</v>
      </c>
      <c r="B311" t="s">
        <v>25</v>
      </c>
      <c r="C311" s="17">
        <v>45537</v>
      </c>
      <c r="D311" t="s">
        <v>44</v>
      </c>
      <c r="E311" t="s">
        <v>45</v>
      </c>
      <c r="F311">
        <v>4905</v>
      </c>
      <c r="G311">
        <v>845</v>
      </c>
      <c r="H311">
        <v>129</v>
      </c>
      <c r="I311">
        <v>98100</v>
      </c>
      <c r="J311">
        <v>97772</v>
      </c>
      <c r="K311">
        <v>279</v>
      </c>
      <c r="L311" t="s">
        <v>27</v>
      </c>
      <c r="M311" t="s">
        <v>23</v>
      </c>
      <c r="N311" s="37">
        <f>(Table10_1[[#This Row],[Likes]]+Table10_1[[#This Row],[Shares]]+Table10_1[[#This Row],[Comments]])/Table10_1[[#This Row],[Impressions]]</f>
        <v>5.9928644240570844E-2</v>
      </c>
    </row>
    <row r="312" spans="1:14" x14ac:dyDescent="0.25">
      <c r="A312" t="s">
        <v>348</v>
      </c>
      <c r="B312" t="s">
        <v>25</v>
      </c>
      <c r="C312" s="17">
        <v>45586</v>
      </c>
      <c r="D312" t="s">
        <v>59</v>
      </c>
      <c r="E312" t="s">
        <v>143</v>
      </c>
      <c r="F312">
        <v>4275</v>
      </c>
      <c r="G312">
        <v>680</v>
      </c>
      <c r="H312">
        <v>385</v>
      </c>
      <c r="I312">
        <v>64125</v>
      </c>
      <c r="J312">
        <v>63650</v>
      </c>
      <c r="K312">
        <v>104</v>
      </c>
      <c r="L312" t="s">
        <v>33</v>
      </c>
      <c r="M312" t="s">
        <v>34</v>
      </c>
      <c r="N312" s="37">
        <f>(Table10_1[[#This Row],[Likes]]+Table10_1[[#This Row],[Shares]]+Table10_1[[#This Row],[Comments]])/Table10_1[[#This Row],[Impressions]]</f>
        <v>8.3274853801169585E-2</v>
      </c>
    </row>
    <row r="313" spans="1:14" x14ac:dyDescent="0.25">
      <c r="A313" t="s">
        <v>348</v>
      </c>
      <c r="B313" t="s">
        <v>25</v>
      </c>
      <c r="C313" s="17">
        <v>45586</v>
      </c>
      <c r="D313" t="s">
        <v>59</v>
      </c>
      <c r="E313" t="s">
        <v>143</v>
      </c>
      <c r="F313">
        <v>4275</v>
      </c>
      <c r="G313">
        <v>680</v>
      </c>
      <c r="H313">
        <v>385</v>
      </c>
      <c r="I313">
        <v>64125</v>
      </c>
      <c r="J313">
        <v>63650</v>
      </c>
      <c r="K313">
        <v>104</v>
      </c>
      <c r="L313" t="s">
        <v>27</v>
      </c>
      <c r="M313" t="s">
        <v>34</v>
      </c>
      <c r="N313" s="37">
        <f>(Table10_1[[#This Row],[Likes]]+Table10_1[[#This Row],[Shares]]+Table10_1[[#This Row],[Comments]])/Table10_1[[#This Row],[Impressions]]</f>
        <v>8.3274853801169585E-2</v>
      </c>
    </row>
    <row r="314" spans="1:14" x14ac:dyDescent="0.25">
      <c r="A314" t="s">
        <v>348</v>
      </c>
      <c r="B314" t="s">
        <v>25</v>
      </c>
      <c r="C314" s="17">
        <v>45586</v>
      </c>
      <c r="D314" t="s">
        <v>59</v>
      </c>
      <c r="E314" t="s">
        <v>143</v>
      </c>
      <c r="F314">
        <v>4275</v>
      </c>
      <c r="G314">
        <v>680</v>
      </c>
      <c r="H314">
        <v>385</v>
      </c>
      <c r="I314">
        <v>64125</v>
      </c>
      <c r="J314">
        <v>63650</v>
      </c>
      <c r="K314">
        <v>104</v>
      </c>
      <c r="L314" t="s">
        <v>379</v>
      </c>
      <c r="M314" t="s">
        <v>34</v>
      </c>
      <c r="N314" s="37">
        <f>(Table10_1[[#This Row],[Likes]]+Table10_1[[#This Row],[Shares]]+Table10_1[[#This Row],[Comments]])/Table10_1[[#This Row],[Impressions]]</f>
        <v>8.3274853801169585E-2</v>
      </c>
    </row>
    <row r="315" spans="1:14" x14ac:dyDescent="0.25">
      <c r="A315" t="s">
        <v>349</v>
      </c>
      <c r="B315" t="s">
        <v>25</v>
      </c>
      <c r="C315" s="17">
        <v>45738</v>
      </c>
      <c r="D315" t="s">
        <v>44</v>
      </c>
      <c r="E315" t="s">
        <v>45</v>
      </c>
      <c r="F315">
        <v>3166</v>
      </c>
      <c r="G315">
        <v>90</v>
      </c>
      <c r="H315">
        <v>341</v>
      </c>
      <c r="I315">
        <v>56988</v>
      </c>
      <c r="J315">
        <v>56125</v>
      </c>
      <c r="K315">
        <v>135</v>
      </c>
      <c r="L315" t="s">
        <v>33</v>
      </c>
      <c r="M315" t="s">
        <v>23</v>
      </c>
      <c r="N315" s="37">
        <f>(Table10_1[[#This Row],[Likes]]+Table10_1[[#This Row],[Shares]]+Table10_1[[#This Row],[Comments]])/Table10_1[[#This Row],[Impressions]]</f>
        <v>6.3118551273952411E-2</v>
      </c>
    </row>
    <row r="316" spans="1:14" x14ac:dyDescent="0.25">
      <c r="A316" t="s">
        <v>350</v>
      </c>
      <c r="B316" t="s">
        <v>30</v>
      </c>
      <c r="C316" s="17">
        <v>45568</v>
      </c>
      <c r="D316" t="s">
        <v>59</v>
      </c>
      <c r="E316" t="s">
        <v>66</v>
      </c>
      <c r="F316">
        <v>1488</v>
      </c>
      <c r="G316">
        <v>417</v>
      </c>
      <c r="H316">
        <v>168</v>
      </c>
      <c r="I316">
        <v>19344</v>
      </c>
      <c r="J316">
        <v>18395</v>
      </c>
      <c r="K316">
        <v>30</v>
      </c>
      <c r="L316" t="s">
        <v>51</v>
      </c>
      <c r="M316" t="s">
        <v>28</v>
      </c>
      <c r="N316" s="37">
        <f>(Table10_1[[#This Row],[Likes]]+Table10_1[[#This Row],[Shares]]+Table10_1[[#This Row],[Comments]])/Table10_1[[#This Row],[Impressions]]</f>
        <v>0.1071650124069479</v>
      </c>
    </row>
    <row r="317" spans="1:14" x14ac:dyDescent="0.25">
      <c r="A317" t="s">
        <v>351</v>
      </c>
      <c r="B317" t="s">
        <v>14</v>
      </c>
      <c r="C317" s="17">
        <v>45786</v>
      </c>
      <c r="D317" t="s">
        <v>15</v>
      </c>
      <c r="E317" t="s">
        <v>16</v>
      </c>
      <c r="F317">
        <v>3367</v>
      </c>
      <c r="G317">
        <v>302</v>
      </c>
      <c r="H317">
        <v>57</v>
      </c>
      <c r="I317">
        <v>63973</v>
      </c>
      <c r="J317">
        <v>63789</v>
      </c>
      <c r="K317">
        <v>157</v>
      </c>
      <c r="L317" t="s">
        <v>51</v>
      </c>
      <c r="M317" t="s">
        <v>23</v>
      </c>
      <c r="N317" s="37">
        <f>(Table10_1[[#This Row],[Likes]]+Table10_1[[#This Row],[Shares]]+Table10_1[[#This Row],[Comments]])/Table10_1[[#This Row],[Impressions]]</f>
        <v>5.8243321401216137E-2</v>
      </c>
    </row>
    <row r="318" spans="1:14" x14ac:dyDescent="0.25">
      <c r="A318" t="s">
        <v>352</v>
      </c>
      <c r="B318" t="s">
        <v>14</v>
      </c>
      <c r="C318" s="17">
        <v>45552</v>
      </c>
      <c r="D318" t="s">
        <v>20</v>
      </c>
      <c r="E318" t="s">
        <v>21</v>
      </c>
      <c r="F318">
        <v>571</v>
      </c>
      <c r="G318">
        <v>190</v>
      </c>
      <c r="H318">
        <v>352</v>
      </c>
      <c r="I318">
        <v>9707</v>
      </c>
      <c r="J318">
        <v>9418</v>
      </c>
      <c r="K318">
        <v>231</v>
      </c>
      <c r="L318" t="s">
        <v>27</v>
      </c>
      <c r="M318" t="s">
        <v>34</v>
      </c>
      <c r="N318" s="37">
        <f>(Table10_1[[#This Row],[Likes]]+Table10_1[[#This Row],[Shares]]+Table10_1[[#This Row],[Comments]])/Table10_1[[#This Row],[Impressions]]</f>
        <v>0.11465952405480581</v>
      </c>
    </row>
    <row r="319" spans="1:14" x14ac:dyDescent="0.25">
      <c r="A319" t="s">
        <v>353</v>
      </c>
      <c r="B319" t="s">
        <v>25</v>
      </c>
      <c r="C319" s="17">
        <v>45491</v>
      </c>
      <c r="D319" t="s">
        <v>20</v>
      </c>
      <c r="E319" t="s">
        <v>77</v>
      </c>
      <c r="F319">
        <v>4021</v>
      </c>
      <c r="G319">
        <v>794</v>
      </c>
      <c r="H319">
        <v>77</v>
      </c>
      <c r="I319">
        <v>36189</v>
      </c>
      <c r="J319">
        <v>35505</v>
      </c>
      <c r="K319">
        <v>174</v>
      </c>
      <c r="L319" t="s">
        <v>33</v>
      </c>
      <c r="N319" s="37">
        <f>(Table10_1[[#This Row],[Likes]]+Table10_1[[#This Row],[Shares]]+Table10_1[[#This Row],[Comments]])/Table10_1[[#This Row],[Impressions]]</f>
        <v>0.13517919809886983</v>
      </c>
    </row>
    <row r="320" spans="1:14" x14ac:dyDescent="0.25">
      <c r="A320" t="s">
        <v>354</v>
      </c>
      <c r="B320" t="s">
        <v>25</v>
      </c>
      <c r="C320" s="17">
        <v>45560</v>
      </c>
      <c r="D320" t="s">
        <v>59</v>
      </c>
      <c r="E320" t="s">
        <v>143</v>
      </c>
      <c r="F320">
        <v>3389</v>
      </c>
      <c r="G320">
        <v>344</v>
      </c>
      <c r="H320">
        <v>229</v>
      </c>
      <c r="I320">
        <v>20334</v>
      </c>
      <c r="J320">
        <v>19443</v>
      </c>
      <c r="K320">
        <v>228</v>
      </c>
      <c r="L320" t="s">
        <v>51</v>
      </c>
      <c r="M320" t="s">
        <v>28</v>
      </c>
      <c r="N320" s="37">
        <f>(Table10_1[[#This Row],[Likes]]+Table10_1[[#This Row],[Shares]]+Table10_1[[#This Row],[Comments]])/Table10_1[[#This Row],[Impressions]]</f>
        <v>0.19484607062063539</v>
      </c>
    </row>
    <row r="321" spans="1:14" x14ac:dyDescent="0.25">
      <c r="A321" t="s">
        <v>355</v>
      </c>
      <c r="B321" t="s">
        <v>30</v>
      </c>
      <c r="C321" s="17">
        <v>45519</v>
      </c>
      <c r="D321" t="s">
        <v>15</v>
      </c>
      <c r="E321" t="s">
        <v>64</v>
      </c>
      <c r="F321">
        <v>1164</v>
      </c>
      <c r="G321">
        <v>616</v>
      </c>
      <c r="H321">
        <v>324</v>
      </c>
      <c r="I321">
        <v>6984</v>
      </c>
      <c r="J321">
        <v>6636</v>
      </c>
      <c r="K321">
        <v>82</v>
      </c>
      <c r="L321" t="s">
        <v>33</v>
      </c>
      <c r="M321" t="s">
        <v>18</v>
      </c>
      <c r="N321" s="37">
        <f>(Table10_1[[#This Row],[Likes]]+Table10_1[[#This Row],[Shares]]+Table10_1[[#This Row],[Comments]])/Table10_1[[#This Row],[Impressions]]</f>
        <v>0.30126002290950743</v>
      </c>
    </row>
    <row r="322" spans="1:14" x14ac:dyDescent="0.25">
      <c r="A322" t="s">
        <v>356</v>
      </c>
      <c r="B322" t="s">
        <v>25</v>
      </c>
      <c r="C322" s="17">
        <v>45764</v>
      </c>
      <c r="D322" t="s">
        <v>39</v>
      </c>
      <c r="E322" t="s">
        <v>55</v>
      </c>
      <c r="F322">
        <v>4780</v>
      </c>
      <c r="G322">
        <v>691</v>
      </c>
      <c r="H322">
        <v>380</v>
      </c>
      <c r="I322">
        <v>86040</v>
      </c>
      <c r="J322">
        <v>85743</v>
      </c>
      <c r="K322">
        <v>262</v>
      </c>
      <c r="L322" t="s">
        <v>51</v>
      </c>
      <c r="M322" t="s">
        <v>28</v>
      </c>
      <c r="N322" s="37">
        <f>(Table10_1[[#This Row],[Likes]]+Table10_1[[#This Row],[Shares]]+Table10_1[[#This Row],[Comments]])/Table10_1[[#This Row],[Impressions]]</f>
        <v>6.800325430032543E-2</v>
      </c>
    </row>
    <row r="323" spans="1:14" x14ac:dyDescent="0.25">
      <c r="A323" t="s">
        <v>357</v>
      </c>
      <c r="B323" t="s">
        <v>38</v>
      </c>
      <c r="C323" s="17">
        <v>45624</v>
      </c>
      <c r="D323" t="s">
        <v>39</v>
      </c>
      <c r="E323" t="s">
        <v>40</v>
      </c>
      <c r="F323">
        <v>2751</v>
      </c>
      <c r="G323">
        <v>33</v>
      </c>
      <c r="H323">
        <v>430</v>
      </c>
      <c r="I323">
        <v>44016</v>
      </c>
      <c r="J323">
        <v>43415</v>
      </c>
      <c r="K323">
        <v>129</v>
      </c>
      <c r="L323" t="s">
        <v>51</v>
      </c>
      <c r="N323" s="37">
        <f>(Table10_1[[#This Row],[Likes]]+Table10_1[[#This Row],[Shares]]+Table10_1[[#This Row],[Comments]])/Table10_1[[#This Row],[Impressions]]</f>
        <v>7.3018902217375503E-2</v>
      </c>
    </row>
    <row r="324" spans="1:14" x14ac:dyDescent="0.25">
      <c r="A324" t="s">
        <v>358</v>
      </c>
      <c r="B324" t="s">
        <v>30</v>
      </c>
      <c r="C324" s="17">
        <v>45646</v>
      </c>
      <c r="D324" t="s">
        <v>39</v>
      </c>
      <c r="E324" t="s">
        <v>68</v>
      </c>
      <c r="F324">
        <v>2107</v>
      </c>
      <c r="G324">
        <v>550</v>
      </c>
      <c r="H324">
        <v>349</v>
      </c>
      <c r="I324">
        <v>35819</v>
      </c>
      <c r="J324">
        <v>35340</v>
      </c>
      <c r="K324">
        <v>191</v>
      </c>
      <c r="L324" t="s">
        <v>33</v>
      </c>
      <c r="M324" t="s">
        <v>34</v>
      </c>
      <c r="N324" s="37">
        <f>(Table10_1[[#This Row],[Likes]]+Table10_1[[#This Row],[Shares]]+Table10_1[[#This Row],[Comments]])/Table10_1[[#This Row],[Impressions]]</f>
        <v>8.3921940869371006E-2</v>
      </c>
    </row>
    <row r="325" spans="1:14" x14ac:dyDescent="0.25">
      <c r="A325" t="s">
        <v>359</v>
      </c>
      <c r="B325" t="s">
        <v>38</v>
      </c>
      <c r="C325" s="17">
        <v>45602</v>
      </c>
      <c r="D325" t="s">
        <v>59</v>
      </c>
      <c r="E325" t="s">
        <v>60</v>
      </c>
      <c r="F325">
        <v>4663</v>
      </c>
      <c r="G325">
        <v>145</v>
      </c>
      <c r="H325">
        <v>225</v>
      </c>
      <c r="I325">
        <v>69945</v>
      </c>
      <c r="J325">
        <v>69596</v>
      </c>
      <c r="K325">
        <v>35</v>
      </c>
      <c r="L325" t="s">
        <v>33</v>
      </c>
      <c r="M325" t="s">
        <v>34</v>
      </c>
      <c r="N325" s="37">
        <f>(Table10_1[[#This Row],[Likes]]+Table10_1[[#This Row],[Shares]]+Table10_1[[#This Row],[Comments]])/Table10_1[[#This Row],[Impressions]]</f>
        <v>7.1956537279290869E-2</v>
      </c>
    </row>
    <row r="326" spans="1:14" x14ac:dyDescent="0.25">
      <c r="A326" t="s">
        <v>360</v>
      </c>
      <c r="B326" t="s">
        <v>38</v>
      </c>
      <c r="C326" s="17">
        <v>45613</v>
      </c>
      <c r="D326" t="s">
        <v>20</v>
      </c>
      <c r="E326" t="s">
        <v>47</v>
      </c>
      <c r="F326">
        <v>880</v>
      </c>
      <c r="G326">
        <v>297</v>
      </c>
      <c r="H326">
        <v>345</v>
      </c>
      <c r="I326">
        <v>12320</v>
      </c>
      <c r="J326">
        <v>11978</v>
      </c>
      <c r="K326">
        <v>238</v>
      </c>
      <c r="L326" t="s">
        <v>27</v>
      </c>
      <c r="N326" s="37">
        <f>(Table10_1[[#This Row],[Likes]]+Table10_1[[#This Row],[Shares]]+Table10_1[[#This Row],[Comments]])/Table10_1[[#This Row],[Impressions]]</f>
        <v>0.12353896103896105</v>
      </c>
    </row>
    <row r="327" spans="1:14" x14ac:dyDescent="0.25">
      <c r="A327" t="s">
        <v>360</v>
      </c>
      <c r="B327" t="s">
        <v>38</v>
      </c>
      <c r="C327" s="17">
        <v>45613</v>
      </c>
      <c r="D327" t="s">
        <v>20</v>
      </c>
      <c r="E327" t="s">
        <v>47</v>
      </c>
      <c r="F327">
        <v>880</v>
      </c>
      <c r="G327">
        <v>297</v>
      </c>
      <c r="H327">
        <v>345</v>
      </c>
      <c r="I327">
        <v>12320</v>
      </c>
      <c r="J327">
        <v>11978</v>
      </c>
      <c r="K327">
        <v>238</v>
      </c>
      <c r="L327" t="s">
        <v>379</v>
      </c>
      <c r="N327" s="37">
        <f>(Table10_1[[#This Row],[Likes]]+Table10_1[[#This Row],[Shares]]+Table10_1[[#This Row],[Comments]])/Table10_1[[#This Row],[Impressions]]</f>
        <v>0.12353896103896105</v>
      </c>
    </row>
    <row r="328" spans="1:14" x14ac:dyDescent="0.25">
      <c r="A328" t="s">
        <v>361</v>
      </c>
      <c r="B328" t="s">
        <v>38</v>
      </c>
      <c r="C328" s="17">
        <v>45791</v>
      </c>
      <c r="D328" t="s">
        <v>20</v>
      </c>
      <c r="E328" t="s">
        <v>47</v>
      </c>
      <c r="F328">
        <v>2634</v>
      </c>
      <c r="G328">
        <v>726</v>
      </c>
      <c r="H328">
        <v>241</v>
      </c>
      <c r="I328">
        <v>28974</v>
      </c>
      <c r="J328">
        <v>28102</v>
      </c>
      <c r="K328">
        <v>277</v>
      </c>
      <c r="L328" t="s">
        <v>33</v>
      </c>
      <c r="M328" t="s">
        <v>18</v>
      </c>
      <c r="N328" s="37">
        <f>(Table10_1[[#This Row],[Likes]]+Table10_1[[#This Row],[Shares]]+Table10_1[[#This Row],[Comments]])/Table10_1[[#This Row],[Impressions]]</f>
        <v>0.12428384068475185</v>
      </c>
    </row>
    <row r="329" spans="1:14" x14ac:dyDescent="0.25">
      <c r="A329" t="s">
        <v>362</v>
      </c>
      <c r="B329" t="s">
        <v>38</v>
      </c>
      <c r="C329" s="17">
        <v>45462</v>
      </c>
      <c r="D329" t="s">
        <v>39</v>
      </c>
      <c r="E329" t="s">
        <v>40</v>
      </c>
      <c r="F329">
        <v>4731</v>
      </c>
      <c r="G329">
        <v>173</v>
      </c>
      <c r="H329">
        <v>276</v>
      </c>
      <c r="I329">
        <v>28386</v>
      </c>
      <c r="J329">
        <v>28185</v>
      </c>
      <c r="K329">
        <v>89</v>
      </c>
      <c r="L329" t="s">
        <v>33</v>
      </c>
      <c r="M329" t="s">
        <v>28</v>
      </c>
      <c r="N329" s="37">
        <f>(Table10_1[[#This Row],[Likes]]+Table10_1[[#This Row],[Shares]]+Table10_1[[#This Row],[Comments]])/Table10_1[[#This Row],[Impressions]]</f>
        <v>0.18248432325794406</v>
      </c>
    </row>
    <row r="330" spans="1:14" x14ac:dyDescent="0.25">
      <c r="A330" t="s">
        <v>363</v>
      </c>
      <c r="B330" t="s">
        <v>14</v>
      </c>
      <c r="C330" s="17">
        <v>45783</v>
      </c>
      <c r="D330" t="s">
        <v>44</v>
      </c>
      <c r="E330" t="s">
        <v>92</v>
      </c>
      <c r="F330">
        <v>1952</v>
      </c>
      <c r="G330">
        <v>344</v>
      </c>
      <c r="H330">
        <v>287</v>
      </c>
      <c r="I330">
        <v>15616</v>
      </c>
      <c r="J330">
        <v>15403</v>
      </c>
      <c r="K330">
        <v>235</v>
      </c>
      <c r="L330" t="s">
        <v>51</v>
      </c>
      <c r="M330" t="s">
        <v>23</v>
      </c>
      <c r="N330" s="37">
        <f>(Table10_1[[#This Row],[Likes]]+Table10_1[[#This Row],[Shares]]+Table10_1[[#This Row],[Comments]])/Table10_1[[#This Row],[Impressions]]</f>
        <v>0.16540727459016394</v>
      </c>
    </row>
    <row r="331" spans="1:14" x14ac:dyDescent="0.25">
      <c r="A331" t="s">
        <v>363</v>
      </c>
      <c r="B331" t="s">
        <v>14</v>
      </c>
      <c r="C331" s="17">
        <v>45783</v>
      </c>
      <c r="D331" t="s">
        <v>44</v>
      </c>
      <c r="E331" t="s">
        <v>92</v>
      </c>
      <c r="F331">
        <v>1952</v>
      </c>
      <c r="G331">
        <v>344</v>
      </c>
      <c r="H331">
        <v>287</v>
      </c>
      <c r="I331">
        <v>15616</v>
      </c>
      <c r="J331">
        <v>15403</v>
      </c>
      <c r="K331">
        <v>235</v>
      </c>
      <c r="L331" t="s">
        <v>27</v>
      </c>
      <c r="M331" t="s">
        <v>23</v>
      </c>
      <c r="N331" s="37">
        <f>(Table10_1[[#This Row],[Likes]]+Table10_1[[#This Row],[Shares]]+Table10_1[[#This Row],[Comments]])/Table10_1[[#This Row],[Impressions]]</f>
        <v>0.16540727459016394</v>
      </c>
    </row>
    <row r="332" spans="1:14" x14ac:dyDescent="0.25">
      <c r="A332" t="s">
        <v>363</v>
      </c>
      <c r="B332" t="s">
        <v>14</v>
      </c>
      <c r="C332" s="17">
        <v>45783</v>
      </c>
      <c r="D332" t="s">
        <v>44</v>
      </c>
      <c r="E332" t="s">
        <v>92</v>
      </c>
      <c r="F332">
        <v>1952</v>
      </c>
      <c r="G332">
        <v>344</v>
      </c>
      <c r="H332">
        <v>287</v>
      </c>
      <c r="I332">
        <v>15616</v>
      </c>
      <c r="J332">
        <v>15403</v>
      </c>
      <c r="K332">
        <v>235</v>
      </c>
      <c r="L332" t="s">
        <v>379</v>
      </c>
      <c r="M332" t="s">
        <v>23</v>
      </c>
      <c r="N332" s="37">
        <f>(Table10_1[[#This Row],[Likes]]+Table10_1[[#This Row],[Shares]]+Table10_1[[#This Row],[Comments]])/Table10_1[[#This Row],[Impressions]]</f>
        <v>0.16540727459016394</v>
      </c>
    </row>
    <row r="333" spans="1:14" x14ac:dyDescent="0.25">
      <c r="A333" t="s">
        <v>364</v>
      </c>
      <c r="B333" t="s">
        <v>14</v>
      </c>
      <c r="C333" s="17">
        <v>45699</v>
      </c>
      <c r="D333" t="s">
        <v>59</v>
      </c>
      <c r="E333" t="s">
        <v>99</v>
      </c>
      <c r="F333">
        <v>3440</v>
      </c>
      <c r="G333">
        <v>13</v>
      </c>
      <c r="H333">
        <v>20</v>
      </c>
      <c r="I333">
        <v>58480</v>
      </c>
      <c r="J333">
        <v>58146</v>
      </c>
      <c r="K333">
        <v>210</v>
      </c>
      <c r="L333" t="s">
        <v>27</v>
      </c>
      <c r="M333" t="s">
        <v>34</v>
      </c>
      <c r="N333" s="37">
        <f>(Table10_1[[#This Row],[Likes]]+Table10_1[[#This Row],[Shares]]+Table10_1[[#This Row],[Comments]])/Table10_1[[#This Row],[Impressions]]</f>
        <v>5.9387824897400819E-2</v>
      </c>
    </row>
    <row r="334" spans="1:14" x14ac:dyDescent="0.25">
      <c r="A334" t="s">
        <v>364</v>
      </c>
      <c r="B334" t="s">
        <v>14</v>
      </c>
      <c r="C334" s="17">
        <v>45699</v>
      </c>
      <c r="D334" t="s">
        <v>59</v>
      </c>
      <c r="E334" t="s">
        <v>99</v>
      </c>
      <c r="F334">
        <v>3440</v>
      </c>
      <c r="G334">
        <v>13</v>
      </c>
      <c r="H334">
        <v>20</v>
      </c>
      <c r="I334">
        <v>58480</v>
      </c>
      <c r="J334">
        <v>58146</v>
      </c>
      <c r="K334">
        <v>210</v>
      </c>
      <c r="L334" t="s">
        <v>381</v>
      </c>
      <c r="M334" t="s">
        <v>34</v>
      </c>
      <c r="N334" s="37">
        <f>(Table10_1[[#This Row],[Likes]]+Table10_1[[#This Row],[Shares]]+Table10_1[[#This Row],[Comments]])/Table10_1[[#This Row],[Impressions]]</f>
        <v>5.9387824897400819E-2</v>
      </c>
    </row>
    <row r="335" spans="1:14" x14ac:dyDescent="0.25">
      <c r="A335" t="s">
        <v>365</v>
      </c>
      <c r="B335" t="s">
        <v>14</v>
      </c>
      <c r="C335" s="17">
        <v>45650</v>
      </c>
      <c r="D335" t="s">
        <v>20</v>
      </c>
      <c r="E335" t="s">
        <v>21</v>
      </c>
      <c r="F335">
        <v>2166</v>
      </c>
      <c r="G335">
        <v>354</v>
      </c>
      <c r="H335">
        <v>117</v>
      </c>
      <c r="I335">
        <v>10830</v>
      </c>
      <c r="J335">
        <v>10245</v>
      </c>
      <c r="K335">
        <v>24</v>
      </c>
      <c r="L335" t="s">
        <v>33</v>
      </c>
      <c r="M335" t="s">
        <v>34</v>
      </c>
      <c r="N335" s="37">
        <f>(Table10_1[[#This Row],[Likes]]+Table10_1[[#This Row],[Shares]]+Table10_1[[#This Row],[Comments]])/Table10_1[[#This Row],[Impressions]]</f>
        <v>0.24349030470914126</v>
      </c>
    </row>
    <row r="336" spans="1:14" x14ac:dyDescent="0.25">
      <c r="A336" t="s">
        <v>366</v>
      </c>
      <c r="B336" t="s">
        <v>38</v>
      </c>
      <c r="C336" s="17">
        <v>45589</v>
      </c>
      <c r="D336" t="s">
        <v>44</v>
      </c>
      <c r="E336" t="s">
        <v>49</v>
      </c>
      <c r="F336">
        <v>4303</v>
      </c>
      <c r="G336">
        <v>451</v>
      </c>
      <c r="H336">
        <v>286</v>
      </c>
      <c r="I336">
        <v>86060</v>
      </c>
      <c r="J336">
        <v>85823</v>
      </c>
      <c r="K336">
        <v>14</v>
      </c>
      <c r="L336" t="s">
        <v>27</v>
      </c>
      <c r="M336" t="s">
        <v>28</v>
      </c>
      <c r="N336" s="37">
        <f>(Table10_1[[#This Row],[Likes]]+Table10_1[[#This Row],[Shares]]+Table10_1[[#This Row],[Comments]])/Table10_1[[#This Row],[Impressions]]</f>
        <v>5.8563792702765516E-2</v>
      </c>
    </row>
    <row r="337" spans="1:14" x14ac:dyDescent="0.25">
      <c r="A337" t="s">
        <v>367</v>
      </c>
      <c r="B337" t="s">
        <v>38</v>
      </c>
      <c r="C337" s="17">
        <v>45530</v>
      </c>
      <c r="D337" t="s">
        <v>44</v>
      </c>
      <c r="E337" t="s">
        <v>49</v>
      </c>
      <c r="F337">
        <v>2581</v>
      </c>
      <c r="G337">
        <v>517</v>
      </c>
      <c r="H337">
        <v>117</v>
      </c>
      <c r="I337">
        <v>23229</v>
      </c>
      <c r="J337">
        <v>22331</v>
      </c>
      <c r="K337">
        <v>70</v>
      </c>
      <c r="L337" t="s">
        <v>51</v>
      </c>
      <c r="M337" t="s">
        <v>28</v>
      </c>
      <c r="N337" s="37">
        <f>(Table10_1[[#This Row],[Likes]]+Table10_1[[#This Row],[Shares]]+Table10_1[[#This Row],[Comments]])/Table10_1[[#This Row],[Impressions]]</f>
        <v>0.13840458048129492</v>
      </c>
    </row>
    <row r="338" spans="1:14" x14ac:dyDescent="0.25">
      <c r="A338" t="s">
        <v>368</v>
      </c>
      <c r="B338" t="s">
        <v>14</v>
      </c>
      <c r="C338" s="17">
        <v>45535</v>
      </c>
      <c r="D338" t="s">
        <v>39</v>
      </c>
      <c r="E338" t="s">
        <v>42</v>
      </c>
      <c r="F338">
        <v>4494</v>
      </c>
      <c r="G338">
        <v>717</v>
      </c>
      <c r="H338">
        <v>45</v>
      </c>
      <c r="I338">
        <v>62916</v>
      </c>
      <c r="J338">
        <v>62688</v>
      </c>
      <c r="K338">
        <v>191</v>
      </c>
      <c r="L338" t="s">
        <v>27</v>
      </c>
      <c r="M338" t="s">
        <v>18</v>
      </c>
      <c r="N338" s="37">
        <f>(Table10_1[[#This Row],[Likes]]+Table10_1[[#This Row],[Shares]]+Table10_1[[#This Row],[Comments]])/Table10_1[[#This Row],[Impressions]]</f>
        <v>8.3539958039290485E-2</v>
      </c>
    </row>
    <row r="339" spans="1:14" x14ac:dyDescent="0.25">
      <c r="A339" t="s">
        <v>368</v>
      </c>
      <c r="B339" t="s">
        <v>14</v>
      </c>
      <c r="C339" s="17">
        <v>45535</v>
      </c>
      <c r="D339" t="s">
        <v>39</v>
      </c>
      <c r="E339" t="s">
        <v>42</v>
      </c>
      <c r="F339">
        <v>4494</v>
      </c>
      <c r="G339">
        <v>717</v>
      </c>
      <c r="H339">
        <v>45</v>
      </c>
      <c r="I339">
        <v>62916</v>
      </c>
      <c r="J339">
        <v>62688</v>
      </c>
      <c r="K339">
        <v>191</v>
      </c>
      <c r="L339" t="s">
        <v>33</v>
      </c>
      <c r="M339" t="s">
        <v>18</v>
      </c>
      <c r="N339" s="37">
        <f>(Table10_1[[#This Row],[Likes]]+Table10_1[[#This Row],[Shares]]+Table10_1[[#This Row],[Comments]])/Table10_1[[#This Row],[Impressions]]</f>
        <v>8.3539958039290485E-2</v>
      </c>
    </row>
    <row r="340" spans="1:14" x14ac:dyDescent="0.25">
      <c r="A340" t="s">
        <v>368</v>
      </c>
      <c r="B340" t="s">
        <v>14</v>
      </c>
      <c r="C340" s="17">
        <v>45535</v>
      </c>
      <c r="D340" t="s">
        <v>39</v>
      </c>
      <c r="E340" t="s">
        <v>42</v>
      </c>
      <c r="F340">
        <v>4494</v>
      </c>
      <c r="G340">
        <v>717</v>
      </c>
      <c r="H340">
        <v>45</v>
      </c>
      <c r="I340">
        <v>62916</v>
      </c>
      <c r="J340">
        <v>62688</v>
      </c>
      <c r="K340">
        <v>191</v>
      </c>
      <c r="L340" t="s">
        <v>380</v>
      </c>
      <c r="M340" t="s">
        <v>18</v>
      </c>
      <c r="N340" s="37">
        <f>(Table10_1[[#This Row],[Likes]]+Table10_1[[#This Row],[Shares]]+Table10_1[[#This Row],[Comments]])/Table10_1[[#This Row],[Impressions]]</f>
        <v>8.3539958039290485E-2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A478-6CDE-48A9-89AE-BD3732EA9C9C}">
  <dimension ref="A1:Q301"/>
  <sheetViews>
    <sheetView workbookViewId="0">
      <selection activeCell="J7" sqref="J7"/>
    </sheetView>
  </sheetViews>
  <sheetFormatPr defaultRowHeight="15" x14ac:dyDescent="0.25"/>
  <cols>
    <col min="2" max="2" width="14.7109375" customWidth="1"/>
    <col min="3" max="3" width="16" customWidth="1"/>
    <col min="5" max="6" width="12.28515625" customWidth="1"/>
    <col min="7" max="7" width="25" customWidth="1"/>
    <col min="8" max="8" width="24" customWidth="1"/>
    <col min="9" max="9" width="20.28515625" customWidth="1"/>
    <col min="10" max="10" width="23.140625" customWidth="1"/>
    <col min="11" max="11" width="19.28515625" customWidth="1"/>
    <col min="12" max="12" width="18" bestFit="1" customWidth="1"/>
    <col min="13" max="13" width="19.140625" bestFit="1" customWidth="1"/>
    <col min="14" max="14" width="35" bestFit="1" customWidth="1"/>
  </cols>
  <sheetData>
    <row r="1" spans="1:17" ht="21" x14ac:dyDescent="0.3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6" t="s">
        <v>399</v>
      </c>
      <c r="J1" s="5" t="s">
        <v>418</v>
      </c>
      <c r="K1" s="5"/>
      <c r="L1" s="5"/>
      <c r="M1" s="7"/>
      <c r="N1" s="7"/>
      <c r="O1" s="7"/>
      <c r="P1" s="7"/>
      <c r="Q1" s="7"/>
    </row>
    <row r="2" spans="1:17" ht="15.75" x14ac:dyDescent="0.25">
      <c r="A2" s="2" t="s">
        <v>13</v>
      </c>
      <c r="B2" s="2" t="s">
        <v>14</v>
      </c>
      <c r="C2" s="3">
        <v>1461</v>
      </c>
      <c r="D2" s="2">
        <v>184</v>
      </c>
      <c r="E2" s="2">
        <v>344</v>
      </c>
      <c r="F2" s="3">
        <v>21915</v>
      </c>
      <c r="G2" s="8">
        <f>((Posts!F2+Posts!G2+Posts!H2)/Posts!I2)*100</f>
        <v>9.075975359342916</v>
      </c>
      <c r="J2" s="59" t="s">
        <v>416</v>
      </c>
      <c r="K2" s="59"/>
      <c r="L2" s="59"/>
      <c r="M2" s="59"/>
      <c r="N2" s="59"/>
      <c r="O2" s="59"/>
      <c r="P2" s="59"/>
      <c r="Q2" s="59"/>
    </row>
    <row r="3" spans="1:17" x14ac:dyDescent="0.25">
      <c r="A3" s="2" t="s">
        <v>19</v>
      </c>
      <c r="B3" s="2" t="s">
        <v>14</v>
      </c>
      <c r="C3" s="3">
        <v>4054</v>
      </c>
      <c r="D3" s="2">
        <v>389</v>
      </c>
      <c r="E3" s="2">
        <v>493</v>
      </c>
      <c r="F3" s="3">
        <v>64864</v>
      </c>
      <c r="G3" s="8">
        <f>((Posts!F3+Posts!G3+Posts!H3)/Posts!I3)*100</f>
        <v>7.6097681302417373</v>
      </c>
    </row>
    <row r="4" spans="1:17" ht="15" customHeight="1" x14ac:dyDescent="0.25">
      <c r="A4" s="2" t="s">
        <v>24</v>
      </c>
      <c r="B4" s="2" t="s">
        <v>25</v>
      </c>
      <c r="C4" s="3">
        <v>2795</v>
      </c>
      <c r="D4" s="2">
        <v>105</v>
      </c>
      <c r="E4" s="2">
        <v>49</v>
      </c>
      <c r="F4" s="3">
        <v>53105</v>
      </c>
      <c r="G4" s="8">
        <f>((Posts!F4+Posts!G4+Posts!H4)/Posts!I4)*100</f>
        <v>5.5531494209584791</v>
      </c>
      <c r="J4" s="69" t="s">
        <v>480</v>
      </c>
      <c r="K4" s="60"/>
      <c r="L4" s="60"/>
    </row>
    <row r="5" spans="1:17" ht="15" customHeight="1" x14ac:dyDescent="0.25">
      <c r="A5" s="2" t="s">
        <v>29</v>
      </c>
      <c r="B5" s="2" t="s">
        <v>30</v>
      </c>
      <c r="C5" s="3">
        <v>2404</v>
      </c>
      <c r="D5" s="2">
        <v>363</v>
      </c>
      <c r="E5" s="2">
        <v>138</v>
      </c>
      <c r="F5" s="3">
        <v>19232</v>
      </c>
      <c r="G5" s="8">
        <f>((Posts!F5+Posts!G5+Posts!H5)/Posts!I5)*100</f>
        <v>15.105033277870216</v>
      </c>
      <c r="J5" s="12" t="s">
        <v>411</v>
      </c>
      <c r="K5" t="s">
        <v>401</v>
      </c>
      <c r="L5" t="s">
        <v>404</v>
      </c>
      <c r="M5" t="s">
        <v>406</v>
      </c>
      <c r="N5" t="s">
        <v>417</v>
      </c>
      <c r="O5" t="s">
        <v>419</v>
      </c>
    </row>
    <row r="6" spans="1:17" ht="15" customHeight="1" x14ac:dyDescent="0.25">
      <c r="A6" s="2" t="s">
        <v>35</v>
      </c>
      <c r="B6" s="2" t="s">
        <v>25</v>
      </c>
      <c r="C6" s="3">
        <v>3557</v>
      </c>
      <c r="D6" s="2">
        <v>687</v>
      </c>
      <c r="E6" s="2">
        <v>424</v>
      </c>
      <c r="F6" s="3">
        <v>71140</v>
      </c>
      <c r="G6" s="8">
        <f>((Posts!F6+Posts!G6+Posts!H6)/Posts!I6)*100</f>
        <v>6.5617093055946025</v>
      </c>
      <c r="J6" s="19" t="s">
        <v>38</v>
      </c>
      <c r="K6" s="36">
        <v>242761</v>
      </c>
      <c r="L6">
        <v>39181</v>
      </c>
      <c r="M6">
        <v>23300</v>
      </c>
      <c r="N6" s="36">
        <v>3239154</v>
      </c>
      <c r="O6" s="8">
        <v>12.197289956132552</v>
      </c>
    </row>
    <row r="7" spans="1:17" ht="15" customHeight="1" x14ac:dyDescent="0.25">
      <c r="A7" s="2" t="s">
        <v>37</v>
      </c>
      <c r="B7" s="2" t="s">
        <v>38</v>
      </c>
      <c r="C7" s="3">
        <v>2945</v>
      </c>
      <c r="D7" s="2">
        <v>930</v>
      </c>
      <c r="E7" s="2">
        <v>355</v>
      </c>
      <c r="F7" s="3">
        <v>23560</v>
      </c>
      <c r="G7" s="8">
        <f>((Posts!F7+Posts!G7+Posts!H7)/Posts!I7)*100</f>
        <v>17.954159592529713</v>
      </c>
      <c r="J7" s="34" t="s">
        <v>30</v>
      </c>
      <c r="K7" s="38">
        <v>204284</v>
      </c>
      <c r="L7" s="35">
        <v>41444</v>
      </c>
      <c r="M7" s="35">
        <v>17851</v>
      </c>
      <c r="N7" s="38">
        <v>2325756</v>
      </c>
      <c r="O7" s="11">
        <v>19.329257693923491</v>
      </c>
    </row>
    <row r="8" spans="1:17" ht="15" customHeight="1" x14ac:dyDescent="0.25">
      <c r="A8" s="2" t="s">
        <v>41</v>
      </c>
      <c r="B8" s="2" t="s">
        <v>14</v>
      </c>
      <c r="C8" s="3">
        <v>3860</v>
      </c>
      <c r="D8" s="2">
        <v>201</v>
      </c>
      <c r="E8" s="2">
        <v>279</v>
      </c>
      <c r="F8" s="3">
        <v>61760</v>
      </c>
      <c r="G8" s="8">
        <f>((Posts!F8+Posts!G8+Posts!H8)/Posts!I8)*100</f>
        <v>7.0272020725388602</v>
      </c>
      <c r="J8" s="19" t="s">
        <v>14</v>
      </c>
      <c r="K8" s="36">
        <v>201397</v>
      </c>
      <c r="L8">
        <v>33728</v>
      </c>
      <c r="M8">
        <v>20880</v>
      </c>
      <c r="N8" s="36">
        <v>2560836</v>
      </c>
      <c r="O8" s="8">
        <v>14.368407434207896</v>
      </c>
    </row>
    <row r="9" spans="1:17" x14ac:dyDescent="0.25">
      <c r="A9" s="2" t="s">
        <v>43</v>
      </c>
      <c r="B9" s="2" t="s">
        <v>25</v>
      </c>
      <c r="C9" s="3">
        <v>3929</v>
      </c>
      <c r="D9" s="2">
        <v>262</v>
      </c>
      <c r="E9" s="2">
        <v>278</v>
      </c>
      <c r="F9" s="3">
        <v>43219</v>
      </c>
      <c r="G9" s="8">
        <f>((Posts!F9+Posts!G9+Posts!H9)/Posts!I9)*100</f>
        <v>10.340359564080613</v>
      </c>
      <c r="J9" s="19" t="s">
        <v>25</v>
      </c>
      <c r="K9" s="36">
        <v>171549</v>
      </c>
      <c r="L9">
        <v>28572</v>
      </c>
      <c r="M9">
        <v>12820</v>
      </c>
      <c r="N9" s="36">
        <v>2268407</v>
      </c>
      <c r="O9" s="8">
        <v>13.118493770753798</v>
      </c>
    </row>
    <row r="10" spans="1:17" x14ac:dyDescent="0.25">
      <c r="A10" s="2" t="s">
        <v>46</v>
      </c>
      <c r="B10" s="2" t="s">
        <v>38</v>
      </c>
      <c r="C10" s="3">
        <v>3784</v>
      </c>
      <c r="D10" s="2">
        <v>808</v>
      </c>
      <c r="E10" s="2">
        <v>404</v>
      </c>
      <c r="F10" s="3">
        <v>56760</v>
      </c>
      <c r="G10" s="8">
        <f>((Posts!F10+Posts!G10+Posts!H10)/Posts!I10)*100</f>
        <v>8.8019732205778709</v>
      </c>
      <c r="J10" s="19" t="s">
        <v>400</v>
      </c>
      <c r="K10" s="36">
        <v>819991</v>
      </c>
      <c r="L10">
        <v>142925</v>
      </c>
      <c r="M10">
        <v>74851</v>
      </c>
      <c r="N10" s="36">
        <v>10394153</v>
      </c>
      <c r="O10" s="8">
        <v>14.828272479852849</v>
      </c>
    </row>
    <row r="11" spans="1:17" ht="15.75" x14ac:dyDescent="0.25">
      <c r="A11" s="2" t="s">
        <v>48</v>
      </c>
      <c r="B11" s="2" t="s">
        <v>38</v>
      </c>
      <c r="C11" s="3">
        <v>4241</v>
      </c>
      <c r="D11" s="2">
        <v>902</v>
      </c>
      <c r="E11" s="2">
        <v>47</v>
      </c>
      <c r="F11" s="3">
        <v>72097</v>
      </c>
      <c r="G11" s="8">
        <f>((Posts!F11+Posts!G11+Posts!H11)/Posts!I11)*100</f>
        <v>7.1986351720598645</v>
      </c>
      <c r="J11" s="69" t="s">
        <v>481</v>
      </c>
      <c r="K11" s="69"/>
    </row>
    <row r="12" spans="1:17" x14ac:dyDescent="0.25">
      <c r="A12" s="2" t="s">
        <v>50</v>
      </c>
      <c r="B12" s="2" t="s">
        <v>30</v>
      </c>
      <c r="C12" s="3">
        <v>1792</v>
      </c>
      <c r="D12" s="2">
        <v>614</v>
      </c>
      <c r="E12" s="2">
        <v>497</v>
      </c>
      <c r="F12" s="3">
        <v>25088</v>
      </c>
      <c r="G12" s="8">
        <f>((Posts!F12+Posts!G12+Posts!H12)/Posts!I12)*100</f>
        <v>11.571269132653061</v>
      </c>
      <c r="J12" s="39" t="s">
        <v>1</v>
      </c>
      <c r="K12" s="40" t="s">
        <v>420</v>
      </c>
      <c r="L12" s="40" t="s">
        <v>421</v>
      </c>
      <c r="M12" s="40" t="s">
        <v>422</v>
      </c>
      <c r="N12" s="40" t="s">
        <v>423</v>
      </c>
    </row>
    <row r="13" spans="1:17" x14ac:dyDescent="0.25">
      <c r="A13" s="2" t="s">
        <v>52</v>
      </c>
      <c r="B13" s="2" t="s">
        <v>38</v>
      </c>
      <c r="C13" s="3">
        <v>1946</v>
      </c>
      <c r="D13" s="2">
        <v>686</v>
      </c>
      <c r="E13" s="2">
        <v>377</v>
      </c>
      <c r="F13" s="3">
        <v>23352</v>
      </c>
      <c r="G13" s="8">
        <f>((Posts!F13+Posts!G13+Posts!H13)/Posts!I13)*100</f>
        <v>12.885405960945528</v>
      </c>
      <c r="J13" s="41" t="s">
        <v>38</v>
      </c>
      <c r="K13" s="43">
        <f>SUMIF('Task 3'!B2:B201,"Facebook",'Engagement Summary'!C2:C201)</f>
        <v>51171</v>
      </c>
      <c r="L13" s="43">
        <f>SUMIF('Engagement Summary'!B2:B201,'Task 3'!J13,'Engagement Summary'!D2:D201)</f>
        <v>15305</v>
      </c>
      <c r="M13" s="43">
        <f>K13-L13</f>
        <v>35866</v>
      </c>
      <c r="N13" s="42">
        <f>('Engagement Summary'!C2-'Engagement Summary'!D2)/'Engagement Summary'!E2</f>
        <v>3.0428616268120576E-3</v>
      </c>
    </row>
    <row r="14" spans="1:17" x14ac:dyDescent="0.25">
      <c r="A14" s="2" t="s">
        <v>54</v>
      </c>
      <c r="B14" s="2" t="s">
        <v>25</v>
      </c>
      <c r="C14" s="3">
        <v>1171</v>
      </c>
      <c r="D14" s="2">
        <v>286</v>
      </c>
      <c r="E14" s="2">
        <v>231</v>
      </c>
      <c r="F14" s="3">
        <v>22249</v>
      </c>
      <c r="G14" s="8">
        <f>((Posts!F14+Posts!G14+Posts!H14)/Posts!I14)*100</f>
        <v>7.5868578363072494</v>
      </c>
      <c r="J14" s="41" t="s">
        <v>30</v>
      </c>
      <c r="K14" s="43">
        <f>SUMIF('Task 3'!B3:B202,'Task 3'!J14,'Engagement Summary'!C3:C202)</f>
        <v>61771</v>
      </c>
      <c r="L14" s="43">
        <f>SUMIF('Engagement Summary'!B3:B202,'Task 3'!J14,'Engagement Summary'!D3:D202)</f>
        <v>10219</v>
      </c>
      <c r="M14" s="43">
        <f t="shared" ref="M14:M16" si="0">K14-L14</f>
        <v>51552</v>
      </c>
      <c r="N14" s="42">
        <f>('Engagement Summary'!C3-'Engagement Summary'!D3)/'Engagement Summary'!E3</f>
        <v>2.3491348994232664E-2</v>
      </c>
    </row>
    <row r="15" spans="1:17" x14ac:dyDescent="0.25">
      <c r="A15" s="2" t="s">
        <v>56</v>
      </c>
      <c r="B15" s="2" t="s">
        <v>38</v>
      </c>
      <c r="C15" s="3">
        <v>4242</v>
      </c>
      <c r="D15" s="2">
        <v>555</v>
      </c>
      <c r="E15" s="2">
        <v>131</v>
      </c>
      <c r="F15" s="3">
        <v>33936</v>
      </c>
      <c r="G15" s="8">
        <f>((Posts!F15+Posts!G15+Posts!H15)/Posts!I15)*100</f>
        <v>14.521452145214523</v>
      </c>
      <c r="J15" s="41" t="s">
        <v>25</v>
      </c>
      <c r="K15" s="43">
        <f>SUMIF('Task 3'!B4:B203,'Task 3'!J15,'Engagement Summary'!C4:C203)</f>
        <v>42900</v>
      </c>
      <c r="L15" s="43">
        <f>SUMIF('Engagement Summary'!B4:B203,'Task 3'!J15,'Engagement Summary'!D4:D203)</f>
        <v>12104</v>
      </c>
      <c r="M15" s="43">
        <f t="shared" si="0"/>
        <v>30796</v>
      </c>
      <c r="N15" s="42">
        <f>('Engagement Summary'!C4-'Engagement Summary'!D4)/'Engagement Summary'!E4</f>
        <v>2.826320879360366E-3</v>
      </c>
    </row>
    <row r="16" spans="1:17" x14ac:dyDescent="0.25">
      <c r="A16" s="2" t="s">
        <v>58</v>
      </c>
      <c r="B16" s="2" t="s">
        <v>38</v>
      </c>
      <c r="C16" s="3">
        <v>3888</v>
      </c>
      <c r="D16" s="2">
        <v>604</v>
      </c>
      <c r="E16" s="2">
        <v>128</v>
      </c>
      <c r="F16" s="3">
        <v>77760</v>
      </c>
      <c r="G16" s="8">
        <f>((Posts!F16+Posts!G16+Posts!H16)/Posts!I16)*100</f>
        <v>5.9413580246913584</v>
      </c>
      <c r="J16" s="41" t="s">
        <v>14</v>
      </c>
      <c r="K16" s="43">
        <f>SUMIF('Task 3'!B5:B204,'Task 3'!J16,'Engagement Summary'!C5:C204)</f>
        <v>51839</v>
      </c>
      <c r="L16" s="43">
        <f>SUMIF('Engagement Summary'!B5:B204,'Task 3'!J16,'Engagement Summary'!D5:D204)</f>
        <v>12138</v>
      </c>
      <c r="M16" s="43">
        <f t="shared" si="0"/>
        <v>39701</v>
      </c>
      <c r="N16" s="42">
        <f>('Engagement Summary'!C5-'Engagement Summary'!D5)/'Engagement Summary'!E5</f>
        <v>2.7557542170624167E-3</v>
      </c>
    </row>
    <row r="17" spans="1:13" x14ac:dyDescent="0.25">
      <c r="A17" s="2" t="s">
        <v>61</v>
      </c>
      <c r="B17" s="2" t="s">
        <v>38</v>
      </c>
      <c r="C17" s="3">
        <v>3452</v>
      </c>
      <c r="D17" s="2">
        <v>377</v>
      </c>
      <c r="E17" s="2">
        <v>360</v>
      </c>
      <c r="F17" s="3">
        <v>55232</v>
      </c>
      <c r="G17" s="8">
        <f>((Posts!F17+Posts!G17+Posts!H17)/Posts!I17)*100</f>
        <v>7.5843713789107756</v>
      </c>
    </row>
    <row r="18" spans="1:13" ht="15.75" x14ac:dyDescent="0.25">
      <c r="A18" s="2" t="s">
        <v>62</v>
      </c>
      <c r="B18" s="2" t="s">
        <v>38</v>
      </c>
      <c r="C18" s="3">
        <v>4441</v>
      </c>
      <c r="D18" s="2">
        <v>511</v>
      </c>
      <c r="E18" s="2">
        <v>70</v>
      </c>
      <c r="F18" s="3">
        <v>53292</v>
      </c>
      <c r="G18" s="8">
        <f>((Posts!F18+Posts!G18+Posts!H18)/Posts!I18)*100</f>
        <v>9.4235532537716722</v>
      </c>
      <c r="J18" s="69" t="s">
        <v>482</v>
      </c>
      <c r="K18" s="69"/>
    </row>
    <row r="19" spans="1:13" x14ac:dyDescent="0.25">
      <c r="A19" s="2" t="s">
        <v>63</v>
      </c>
      <c r="B19" s="2" t="s">
        <v>30</v>
      </c>
      <c r="C19" s="3">
        <v>3000</v>
      </c>
      <c r="D19" s="2">
        <v>382</v>
      </c>
      <c r="E19" s="2">
        <v>325</v>
      </c>
      <c r="F19" s="3">
        <v>36000</v>
      </c>
      <c r="G19" s="8">
        <f>((Posts!F19+Posts!G19+Posts!H19)/Posts!I19)*100</f>
        <v>10.297222222222222</v>
      </c>
      <c r="J19" s="39" t="s">
        <v>1</v>
      </c>
      <c r="K19" s="40" t="s">
        <v>399</v>
      </c>
      <c r="L19" s="40" t="s">
        <v>424</v>
      </c>
      <c r="M19" s="40" t="s">
        <v>425</v>
      </c>
    </row>
    <row r="20" spans="1:13" x14ac:dyDescent="0.25">
      <c r="A20" s="2" t="s">
        <v>65</v>
      </c>
      <c r="B20" s="2" t="s">
        <v>30</v>
      </c>
      <c r="C20" s="3">
        <v>1071</v>
      </c>
      <c r="D20" s="2">
        <v>519</v>
      </c>
      <c r="E20" s="2">
        <v>22</v>
      </c>
      <c r="F20" s="3">
        <v>16065</v>
      </c>
      <c r="G20" s="8">
        <f>((Posts!F20+Posts!G20+Posts!H20)/Posts!I20)*100</f>
        <v>10.034235916588857</v>
      </c>
      <c r="J20" s="41" t="s">
        <v>38</v>
      </c>
      <c r="K20" s="42">
        <f>AVERAGEIF('Task 3'!B2:B201,'Task 3'!J20,'Engagement Summary'!F2:F201)</f>
        <v>5.4732653061224488</v>
      </c>
      <c r="L20" s="43">
        <f>SUMIF('Engagement Summary'!B2:B201,J20,'Engagement Summary'!G2:G201)</f>
        <v>1379539</v>
      </c>
      <c r="M20" s="44">
        <f>(K20/L20)*10000</f>
        <v>3.9674596413167361E-2</v>
      </c>
    </row>
    <row r="21" spans="1:13" x14ac:dyDescent="0.25">
      <c r="A21" s="2" t="s">
        <v>67</v>
      </c>
      <c r="B21" s="2" t="s">
        <v>30</v>
      </c>
      <c r="C21" s="3">
        <v>4054</v>
      </c>
      <c r="D21" s="2">
        <v>488</v>
      </c>
      <c r="E21" s="2">
        <v>373</v>
      </c>
      <c r="F21" s="3">
        <v>77026</v>
      </c>
      <c r="G21" s="8">
        <f>((Posts!F21+Posts!G21+Posts!H21)/Posts!I21)*100</f>
        <v>6.3809622724794224</v>
      </c>
      <c r="J21" s="41" t="s">
        <v>30</v>
      </c>
      <c r="K21" s="42">
        <f>AVERAGEIF('Task 3'!B3:B202,'Task 3'!J21,'Engagement Summary'!F2:F202)</f>
        <v>5.7401754385964914</v>
      </c>
      <c r="L21" s="43">
        <f>SUMIF('Engagement Summary'!B3:B202,J21,'Engagement Summary'!G3:G202)</f>
        <v>1158469</v>
      </c>
      <c r="M21" s="44">
        <f t="shared" ref="M21:M23" si="1">(K21/L21)*10000</f>
        <v>4.9549668041151657E-2</v>
      </c>
    </row>
    <row r="22" spans="1:13" x14ac:dyDescent="0.25">
      <c r="A22" s="2" t="s">
        <v>69</v>
      </c>
      <c r="B22" s="2" t="s">
        <v>30</v>
      </c>
      <c r="C22" s="3">
        <v>4838</v>
      </c>
      <c r="D22" s="2">
        <v>640</v>
      </c>
      <c r="E22" s="2">
        <v>128</v>
      </c>
      <c r="F22" s="3">
        <v>72570</v>
      </c>
      <c r="G22" s="8">
        <f>((Posts!F22+Posts!G22+Posts!H22)/Posts!I22)*100</f>
        <v>7.7249552156538517</v>
      </c>
      <c r="J22" s="41" t="s">
        <v>25</v>
      </c>
      <c r="K22" s="42">
        <f>AVERAGEIF('Task 3'!B4:B203,'Task 3'!J22,'Engagement Summary'!F2:F203)</f>
        <v>5.1355813953488356</v>
      </c>
      <c r="L22" s="43">
        <f>SUMIF('Engagement Summary'!B4:B203,J22,'Engagement Summary'!G4:G203)</f>
        <v>1228647</v>
      </c>
      <c r="M22" s="44">
        <f t="shared" si="1"/>
        <v>4.1798672811221092E-2</v>
      </c>
    </row>
    <row r="23" spans="1:13" x14ac:dyDescent="0.25">
      <c r="A23" s="2" t="s">
        <v>70</v>
      </c>
      <c r="B23" s="2" t="s">
        <v>38</v>
      </c>
      <c r="C23" s="3">
        <v>1570</v>
      </c>
      <c r="D23" s="2">
        <v>187</v>
      </c>
      <c r="E23" s="2">
        <v>260</v>
      </c>
      <c r="F23" s="3">
        <v>25120</v>
      </c>
      <c r="G23" s="8">
        <f>((Posts!F23+Posts!G23+Posts!H23)/Posts!I23)*100</f>
        <v>8.0294585987261158</v>
      </c>
      <c r="J23" s="41" t="s">
        <v>14</v>
      </c>
      <c r="K23" s="42">
        <f>AVERAGEIF('Task 3'!B5:B204,'Task 3'!J23,'Engagement Summary'!F2:F204)</f>
        <v>5.7050000000000001</v>
      </c>
      <c r="L23" s="43">
        <f>SUMIF('Engagement Summary'!B5:B204,J23,'Engagement Summary'!G5:G204)</f>
        <v>1033605</v>
      </c>
      <c r="M23" s="44">
        <f t="shared" si="1"/>
        <v>5.5195166432050927E-2</v>
      </c>
    </row>
    <row r="24" spans="1:13" x14ac:dyDescent="0.25">
      <c r="A24" s="2" t="s">
        <v>71</v>
      </c>
      <c r="B24" s="2" t="s">
        <v>38</v>
      </c>
      <c r="C24" s="3">
        <v>1606</v>
      </c>
      <c r="D24" s="2">
        <v>547</v>
      </c>
      <c r="E24" s="2">
        <v>316</v>
      </c>
      <c r="F24" s="3">
        <v>32120</v>
      </c>
      <c r="G24" s="8">
        <f>((Posts!F24+Posts!G24+Posts!H24)/Posts!I24)*100</f>
        <v>7.6867995018679958</v>
      </c>
    </row>
    <row r="25" spans="1:13" x14ac:dyDescent="0.25">
      <c r="A25" s="2" t="s">
        <v>73</v>
      </c>
      <c r="B25" s="2" t="s">
        <v>38</v>
      </c>
      <c r="C25" s="3">
        <v>3961</v>
      </c>
      <c r="D25" s="2">
        <v>761</v>
      </c>
      <c r="E25" s="2">
        <v>131</v>
      </c>
      <c r="F25" s="3">
        <v>67337</v>
      </c>
      <c r="G25" s="8">
        <f>((Posts!F25+Posts!G25+Posts!H25)/Posts!I25)*100</f>
        <v>7.2070332803659207</v>
      </c>
    </row>
    <row r="26" spans="1:13" x14ac:dyDescent="0.25">
      <c r="A26" s="2" t="s">
        <v>74</v>
      </c>
      <c r="B26" s="2" t="s">
        <v>14</v>
      </c>
      <c r="C26" s="3">
        <v>3128</v>
      </c>
      <c r="D26" s="2">
        <v>211</v>
      </c>
      <c r="E26" s="2">
        <v>197</v>
      </c>
      <c r="F26" s="3">
        <v>59432</v>
      </c>
      <c r="G26" s="8">
        <f>((Posts!F26+Posts!G26+Posts!H26)/Posts!I26)*100</f>
        <v>5.9496567505720828</v>
      </c>
    </row>
    <row r="27" spans="1:13" x14ac:dyDescent="0.25">
      <c r="A27" s="2" t="s">
        <v>75</v>
      </c>
      <c r="B27" s="2" t="s">
        <v>25</v>
      </c>
      <c r="C27" s="3">
        <v>3009</v>
      </c>
      <c r="D27" s="2">
        <v>413</v>
      </c>
      <c r="E27" s="2">
        <v>358</v>
      </c>
      <c r="F27" s="3">
        <v>42126</v>
      </c>
      <c r="G27" s="8">
        <f>((Posts!F27+Posts!G27+Posts!H27)/Posts!I27)*100</f>
        <v>8.9730807577268195</v>
      </c>
    </row>
    <row r="28" spans="1:13" x14ac:dyDescent="0.25">
      <c r="A28" s="2" t="s">
        <v>76</v>
      </c>
      <c r="B28" s="2" t="s">
        <v>25</v>
      </c>
      <c r="C28" s="3">
        <v>2076</v>
      </c>
      <c r="D28" s="2">
        <v>195</v>
      </c>
      <c r="E28" s="2">
        <v>104</v>
      </c>
      <c r="F28" s="3">
        <v>33216</v>
      </c>
      <c r="G28" s="8">
        <f>((Posts!F28+Posts!G28+Posts!H28)/Posts!I28)*100</f>
        <v>7.1501685934489396</v>
      </c>
    </row>
    <row r="29" spans="1:13" x14ac:dyDescent="0.25">
      <c r="A29" s="2" t="s">
        <v>78</v>
      </c>
      <c r="B29" s="2" t="s">
        <v>30</v>
      </c>
      <c r="C29" s="3">
        <v>432</v>
      </c>
      <c r="D29" s="2">
        <v>624</v>
      </c>
      <c r="E29" s="2">
        <v>123</v>
      </c>
      <c r="F29" s="3">
        <v>6912</v>
      </c>
      <c r="G29" s="8">
        <f>((Posts!F29+Posts!G29+Posts!H29)/Posts!I29)*100</f>
        <v>17.057291666666664</v>
      </c>
    </row>
    <row r="30" spans="1:13" x14ac:dyDescent="0.25">
      <c r="A30" s="2" t="s">
        <v>79</v>
      </c>
      <c r="B30" s="2" t="s">
        <v>30</v>
      </c>
      <c r="C30" s="3">
        <v>2566</v>
      </c>
      <c r="D30" s="2">
        <v>118</v>
      </c>
      <c r="E30" s="2">
        <v>37</v>
      </c>
      <c r="F30" s="3">
        <v>12830</v>
      </c>
      <c r="G30" s="8">
        <f>((Posts!F30+Posts!G30+Posts!H30)/Posts!I30)*100</f>
        <v>21.208106001558846</v>
      </c>
    </row>
    <row r="31" spans="1:13" x14ac:dyDescent="0.25">
      <c r="A31" s="2" t="s">
        <v>80</v>
      </c>
      <c r="B31" s="2" t="s">
        <v>30</v>
      </c>
      <c r="C31" s="3">
        <v>3095</v>
      </c>
      <c r="D31" s="2">
        <v>39</v>
      </c>
      <c r="E31" s="2">
        <v>78</v>
      </c>
      <c r="F31" s="3">
        <v>55710</v>
      </c>
      <c r="G31" s="8">
        <f>((Posts!F31+Posts!G31+Posts!H31)/Posts!I31)*100</f>
        <v>5.7655717106444087</v>
      </c>
    </row>
    <row r="32" spans="1:13" x14ac:dyDescent="0.25">
      <c r="A32" s="2" t="s">
        <v>81</v>
      </c>
      <c r="B32" s="2" t="s">
        <v>30</v>
      </c>
      <c r="C32" s="3">
        <v>438</v>
      </c>
      <c r="D32" s="2">
        <v>153</v>
      </c>
      <c r="E32" s="2">
        <v>275</v>
      </c>
      <c r="F32" s="3">
        <v>3066</v>
      </c>
      <c r="G32" s="8">
        <f>((Posts!F32+Posts!G32+Posts!H32)/Posts!I32)*100</f>
        <v>28.245270711024133</v>
      </c>
    </row>
    <row r="33" spans="1:7" x14ac:dyDescent="0.25">
      <c r="A33" s="2" t="s">
        <v>83</v>
      </c>
      <c r="B33" s="2" t="s">
        <v>14</v>
      </c>
      <c r="C33" s="3">
        <v>2278</v>
      </c>
      <c r="D33" s="2">
        <v>10</v>
      </c>
      <c r="E33" s="2">
        <v>321</v>
      </c>
      <c r="F33" s="3">
        <v>13668</v>
      </c>
      <c r="G33" s="8">
        <f>((Posts!F33+Posts!G33+Posts!H33)/Posts!I33)*100</f>
        <v>19.088381621305238</v>
      </c>
    </row>
    <row r="34" spans="1:7" x14ac:dyDescent="0.25">
      <c r="A34" s="2" t="s">
        <v>84</v>
      </c>
      <c r="B34" s="2" t="s">
        <v>38</v>
      </c>
      <c r="C34" s="3">
        <v>1407</v>
      </c>
      <c r="D34" s="2">
        <v>400</v>
      </c>
      <c r="E34" s="2">
        <v>351</v>
      </c>
      <c r="F34" s="3">
        <v>16884</v>
      </c>
      <c r="G34" s="8">
        <f>((Posts!F34+Posts!G34+Posts!H34)/Posts!I34)*100</f>
        <v>12.781331438047856</v>
      </c>
    </row>
    <row r="35" spans="1:7" x14ac:dyDescent="0.25">
      <c r="A35" s="2" t="s">
        <v>85</v>
      </c>
      <c r="B35" s="2" t="s">
        <v>38</v>
      </c>
      <c r="C35" s="3">
        <v>1652</v>
      </c>
      <c r="D35" s="2">
        <v>89</v>
      </c>
      <c r="E35" s="2">
        <v>357</v>
      </c>
      <c r="F35" s="3">
        <v>29736</v>
      </c>
      <c r="G35" s="8">
        <f>((Posts!F35+Posts!G35+Posts!H35)/Posts!I35)*100</f>
        <v>7.0554210384718861</v>
      </c>
    </row>
    <row r="36" spans="1:7" x14ac:dyDescent="0.25">
      <c r="A36" s="2" t="s">
        <v>86</v>
      </c>
      <c r="B36" s="2" t="s">
        <v>30</v>
      </c>
      <c r="C36" s="3">
        <v>3775</v>
      </c>
      <c r="D36" s="2">
        <v>16</v>
      </c>
      <c r="E36" s="2">
        <v>239</v>
      </c>
      <c r="F36" s="3">
        <v>33975</v>
      </c>
      <c r="G36" s="8">
        <f>((Posts!F36+Posts!G36+Posts!H36)/Posts!I36)*100</f>
        <v>11.861662987490803</v>
      </c>
    </row>
    <row r="37" spans="1:7" x14ac:dyDescent="0.25">
      <c r="A37" s="2" t="s">
        <v>87</v>
      </c>
      <c r="B37" s="2" t="s">
        <v>30</v>
      </c>
      <c r="C37" s="3">
        <v>4518</v>
      </c>
      <c r="D37" s="2">
        <v>285</v>
      </c>
      <c r="E37" s="2">
        <v>383</v>
      </c>
      <c r="F37" s="3">
        <v>67770</v>
      </c>
      <c r="G37" s="8">
        <f>((Posts!F37+Posts!G37+Posts!H37)/Posts!I37)*100</f>
        <v>7.6523535487678913</v>
      </c>
    </row>
    <row r="38" spans="1:7" x14ac:dyDescent="0.25">
      <c r="A38" s="2" t="s">
        <v>88</v>
      </c>
      <c r="B38" s="2" t="s">
        <v>38</v>
      </c>
      <c r="C38" s="3">
        <v>3024</v>
      </c>
      <c r="D38" s="2">
        <v>925</v>
      </c>
      <c r="E38" s="2">
        <v>350</v>
      </c>
      <c r="F38" s="3">
        <v>24192</v>
      </c>
      <c r="G38" s="8">
        <f>((Posts!F38+Posts!G38+Posts!H38)/Posts!I38)*100</f>
        <v>17.770337301587304</v>
      </c>
    </row>
    <row r="39" spans="1:7" x14ac:dyDescent="0.25">
      <c r="A39" s="2" t="s">
        <v>89</v>
      </c>
      <c r="B39" s="2" t="s">
        <v>25</v>
      </c>
      <c r="C39" s="3">
        <v>3138</v>
      </c>
      <c r="D39" s="2">
        <v>123</v>
      </c>
      <c r="E39" s="2">
        <v>291</v>
      </c>
      <c r="F39" s="3">
        <v>28242</v>
      </c>
      <c r="G39" s="8">
        <f>((Posts!F39+Posts!G39+Posts!H39)/Posts!I39)*100</f>
        <v>12.577012959422138</v>
      </c>
    </row>
    <row r="40" spans="1:7" x14ac:dyDescent="0.25">
      <c r="A40" s="2" t="s">
        <v>90</v>
      </c>
      <c r="B40" s="2" t="s">
        <v>38</v>
      </c>
      <c r="C40" s="3">
        <v>3564</v>
      </c>
      <c r="D40" s="2">
        <v>629</v>
      </c>
      <c r="E40" s="2">
        <v>177</v>
      </c>
      <c r="F40" s="3">
        <v>60588</v>
      </c>
      <c r="G40" s="8">
        <f>((Posts!F40+Posts!G40+Posts!H40)/Posts!I40)*100</f>
        <v>7.2126493695121141</v>
      </c>
    </row>
    <row r="41" spans="1:7" x14ac:dyDescent="0.25">
      <c r="A41" s="2" t="s">
        <v>91</v>
      </c>
      <c r="B41" s="2" t="s">
        <v>14</v>
      </c>
      <c r="C41" s="3">
        <v>4750</v>
      </c>
      <c r="D41" s="2">
        <v>151</v>
      </c>
      <c r="E41" s="2">
        <v>415</v>
      </c>
      <c r="F41" s="3">
        <v>38000</v>
      </c>
      <c r="G41" s="8">
        <f>((Posts!F41+Posts!G41+Posts!H41)/Posts!I41)*100</f>
        <v>13.989473684210527</v>
      </c>
    </row>
    <row r="42" spans="1:7" x14ac:dyDescent="0.25">
      <c r="A42" s="2" t="s">
        <v>93</v>
      </c>
      <c r="B42" s="2" t="s">
        <v>30</v>
      </c>
      <c r="C42" s="3">
        <v>456</v>
      </c>
      <c r="D42" s="2">
        <v>629</v>
      </c>
      <c r="E42" s="2">
        <v>428</v>
      </c>
      <c r="F42" s="3">
        <v>8208</v>
      </c>
      <c r="G42" s="8">
        <f>((Posts!F42+Posts!G42+Posts!H42)/Posts!I42)*100</f>
        <v>18.433235867446392</v>
      </c>
    </row>
    <row r="43" spans="1:7" x14ac:dyDescent="0.25">
      <c r="A43" s="2" t="s">
        <v>94</v>
      </c>
      <c r="B43" s="2" t="s">
        <v>25</v>
      </c>
      <c r="C43" s="3">
        <v>1543</v>
      </c>
      <c r="D43" s="2">
        <v>820</v>
      </c>
      <c r="E43" s="2">
        <v>333</v>
      </c>
      <c r="F43" s="3">
        <v>12344</v>
      </c>
      <c r="G43" s="8">
        <f>((Posts!F43+Posts!G43+Posts!H43)/Posts!I43)*100</f>
        <v>21.840570317563188</v>
      </c>
    </row>
    <row r="44" spans="1:7" x14ac:dyDescent="0.25">
      <c r="A44" s="2" t="s">
        <v>95</v>
      </c>
      <c r="B44" s="2" t="s">
        <v>30</v>
      </c>
      <c r="C44" s="3">
        <v>2174</v>
      </c>
      <c r="D44" s="2">
        <v>658</v>
      </c>
      <c r="E44" s="2">
        <v>15</v>
      </c>
      <c r="F44" s="3">
        <v>13044</v>
      </c>
      <c r="G44" s="8">
        <f>((Posts!F44+Posts!G44+Posts!H44)/Posts!I44)*100</f>
        <v>21.826126954921804</v>
      </c>
    </row>
    <row r="45" spans="1:7" x14ac:dyDescent="0.25">
      <c r="A45" s="2" t="s">
        <v>96</v>
      </c>
      <c r="B45" s="2" t="s">
        <v>14</v>
      </c>
      <c r="C45" s="3">
        <v>2358</v>
      </c>
      <c r="D45" s="2">
        <v>784</v>
      </c>
      <c r="E45" s="2">
        <v>344</v>
      </c>
      <c r="F45" s="3">
        <v>35370</v>
      </c>
      <c r="G45" s="8">
        <f>((Posts!F45+Posts!G45+Posts!H45)/Posts!I45)*100</f>
        <v>9.8558100084817646</v>
      </c>
    </row>
    <row r="46" spans="1:7" x14ac:dyDescent="0.25">
      <c r="A46" s="2" t="s">
        <v>97</v>
      </c>
      <c r="B46" s="2" t="s">
        <v>38</v>
      </c>
      <c r="C46" s="3">
        <v>3371</v>
      </c>
      <c r="D46" s="2">
        <v>106</v>
      </c>
      <c r="E46" s="2">
        <v>327</v>
      </c>
      <c r="F46" s="3">
        <v>50565</v>
      </c>
      <c r="G46" s="8">
        <f>((Posts!F46+Posts!G46+Posts!H46)/Posts!I46)*100</f>
        <v>7.5229902106199935</v>
      </c>
    </row>
    <row r="47" spans="1:7" x14ac:dyDescent="0.25">
      <c r="A47" s="2" t="s">
        <v>98</v>
      </c>
      <c r="B47" s="2" t="s">
        <v>14</v>
      </c>
      <c r="C47" s="3">
        <v>1108</v>
      </c>
      <c r="D47" s="2">
        <v>177</v>
      </c>
      <c r="E47" s="2">
        <v>212</v>
      </c>
      <c r="F47" s="3">
        <v>8864</v>
      </c>
      <c r="G47" s="8">
        <f>((Posts!F47+Posts!G47+Posts!H47)/Posts!I47)*100</f>
        <v>16.888537906137184</v>
      </c>
    </row>
    <row r="48" spans="1:7" x14ac:dyDescent="0.25">
      <c r="A48" s="2" t="s">
        <v>100</v>
      </c>
      <c r="B48" s="2" t="s">
        <v>14</v>
      </c>
      <c r="C48" s="3">
        <v>2704</v>
      </c>
      <c r="D48" s="2">
        <v>752</v>
      </c>
      <c r="E48" s="2">
        <v>153</v>
      </c>
      <c r="F48" s="3">
        <v>21632</v>
      </c>
      <c r="G48" s="8">
        <f>((Posts!F48+Posts!G48+Posts!H48)/Posts!I48)*100</f>
        <v>16.683616863905325</v>
      </c>
    </row>
    <row r="49" spans="1:7" x14ac:dyDescent="0.25">
      <c r="A49" s="2" t="s">
        <v>101</v>
      </c>
      <c r="B49" s="2" t="s">
        <v>14</v>
      </c>
      <c r="C49" s="3">
        <v>1950</v>
      </c>
      <c r="D49" s="2">
        <v>295</v>
      </c>
      <c r="E49" s="2">
        <v>478</v>
      </c>
      <c r="F49" s="3">
        <v>37050</v>
      </c>
      <c r="G49" s="8">
        <f>((Posts!F49+Posts!G49+Posts!H49)/Posts!I49)*100</f>
        <v>7.3495276653171393</v>
      </c>
    </row>
    <row r="50" spans="1:7" x14ac:dyDescent="0.25">
      <c r="A50" s="2" t="s">
        <v>103</v>
      </c>
      <c r="B50" s="2" t="s">
        <v>14</v>
      </c>
      <c r="C50" s="3">
        <v>2164</v>
      </c>
      <c r="D50" s="2">
        <v>549</v>
      </c>
      <c r="E50" s="2">
        <v>274</v>
      </c>
      <c r="F50" s="3">
        <v>28132</v>
      </c>
      <c r="G50" s="8">
        <f>((Posts!F50+Posts!G50+Posts!H50)/Posts!I50)*100</f>
        <v>10.617801791554102</v>
      </c>
    </row>
    <row r="51" spans="1:7" x14ac:dyDescent="0.25">
      <c r="A51" s="2" t="s">
        <v>104</v>
      </c>
      <c r="B51" s="2" t="s">
        <v>25</v>
      </c>
      <c r="C51" s="3">
        <v>2754</v>
      </c>
      <c r="D51" s="2">
        <v>130</v>
      </c>
      <c r="E51" s="2">
        <v>90</v>
      </c>
      <c r="F51" s="3">
        <v>22032</v>
      </c>
      <c r="G51" s="8">
        <f>((Posts!F51+Posts!G51+Posts!H51)/Posts!I51)*100</f>
        <v>13.498547567175018</v>
      </c>
    </row>
    <row r="52" spans="1:7" x14ac:dyDescent="0.25">
      <c r="A52" s="2" t="s">
        <v>106</v>
      </c>
      <c r="B52" s="2" t="s">
        <v>38</v>
      </c>
      <c r="C52" s="3">
        <v>2200</v>
      </c>
      <c r="D52" s="2">
        <v>504</v>
      </c>
      <c r="E52" s="2">
        <v>239</v>
      </c>
      <c r="F52" s="3">
        <v>37400</v>
      </c>
      <c r="G52" s="8">
        <f>((Posts!F52+Posts!G52+Posts!H52)/Posts!I52)*100</f>
        <v>7.8689839572192515</v>
      </c>
    </row>
    <row r="53" spans="1:7" x14ac:dyDescent="0.25">
      <c r="A53" s="2" t="s">
        <v>107</v>
      </c>
      <c r="B53" s="2" t="s">
        <v>38</v>
      </c>
      <c r="C53" s="3">
        <v>947</v>
      </c>
      <c r="D53" s="2">
        <v>338</v>
      </c>
      <c r="E53" s="2">
        <v>350</v>
      </c>
      <c r="F53" s="3">
        <v>10417</v>
      </c>
      <c r="G53" s="8">
        <f>((Posts!F53+Posts!G53+Posts!H53)/Posts!I53)*100</f>
        <v>15.69549774407219</v>
      </c>
    </row>
    <row r="54" spans="1:7" x14ac:dyDescent="0.25">
      <c r="A54" s="2" t="s">
        <v>108</v>
      </c>
      <c r="B54" s="2" t="s">
        <v>25</v>
      </c>
      <c r="C54" s="3">
        <v>804</v>
      </c>
      <c r="D54" s="2">
        <v>639</v>
      </c>
      <c r="E54" s="2">
        <v>43</v>
      </c>
      <c r="F54" s="3">
        <v>4020</v>
      </c>
      <c r="G54" s="8">
        <f>((Posts!F54+Posts!G54+Posts!H54)/Posts!I54)*100</f>
        <v>36.965174129353237</v>
      </c>
    </row>
    <row r="55" spans="1:7" x14ac:dyDescent="0.25">
      <c r="A55" s="2" t="s">
        <v>110</v>
      </c>
      <c r="B55" s="2" t="s">
        <v>25</v>
      </c>
      <c r="C55" s="3">
        <v>1686</v>
      </c>
      <c r="D55" s="2">
        <v>904</v>
      </c>
      <c r="E55" s="2">
        <v>472</v>
      </c>
      <c r="F55" s="3">
        <v>18546</v>
      </c>
      <c r="G55" s="8">
        <f>((Posts!F55+Posts!G55+Posts!H55)/Posts!I55)*100</f>
        <v>16.510298716704412</v>
      </c>
    </row>
    <row r="56" spans="1:7" x14ac:dyDescent="0.25">
      <c r="A56" s="2" t="s">
        <v>111</v>
      </c>
      <c r="B56" s="2" t="s">
        <v>38</v>
      </c>
      <c r="C56" s="3">
        <v>1226</v>
      </c>
      <c r="D56" s="2">
        <v>119</v>
      </c>
      <c r="E56" s="2">
        <v>7</v>
      </c>
      <c r="F56" s="3">
        <v>14712</v>
      </c>
      <c r="G56" s="8">
        <f>((Posts!F56+Posts!G56+Posts!H56)/Posts!I56)*100</f>
        <v>9.1897770527460576</v>
      </c>
    </row>
    <row r="57" spans="1:7" x14ac:dyDescent="0.25">
      <c r="A57" s="2" t="s">
        <v>112</v>
      </c>
      <c r="B57" s="2" t="s">
        <v>38</v>
      </c>
      <c r="C57" s="3">
        <v>2946</v>
      </c>
      <c r="D57" s="2">
        <v>498</v>
      </c>
      <c r="E57" s="2">
        <v>367</v>
      </c>
      <c r="F57" s="3">
        <v>29460</v>
      </c>
      <c r="G57" s="8">
        <f>((Posts!F57+Posts!G57+Posts!H57)/Posts!I57)*100</f>
        <v>12.936184657162253</v>
      </c>
    </row>
    <row r="58" spans="1:7" x14ac:dyDescent="0.25">
      <c r="A58" s="2" t="s">
        <v>113</v>
      </c>
      <c r="B58" s="2" t="s">
        <v>14</v>
      </c>
      <c r="C58" s="3">
        <v>2825</v>
      </c>
      <c r="D58" s="2">
        <v>535</v>
      </c>
      <c r="E58" s="2">
        <v>295</v>
      </c>
      <c r="F58" s="3">
        <v>45200</v>
      </c>
      <c r="G58" s="8">
        <f>((Posts!F58+Posts!G58+Posts!H58)/Posts!I58)*100</f>
        <v>8.086283185840708</v>
      </c>
    </row>
    <row r="59" spans="1:7" x14ac:dyDescent="0.25">
      <c r="A59" s="2" t="s">
        <v>114</v>
      </c>
      <c r="B59" s="2" t="s">
        <v>30</v>
      </c>
      <c r="C59" s="3">
        <v>103</v>
      </c>
      <c r="D59" s="2">
        <v>770</v>
      </c>
      <c r="E59" s="2">
        <v>19</v>
      </c>
      <c r="F59" s="3">
        <v>1030</v>
      </c>
      <c r="G59" s="8">
        <f>((Posts!F59+Posts!G59+Posts!H59)/Posts!I59)*100</f>
        <v>86.601941747572823</v>
      </c>
    </row>
    <row r="60" spans="1:7" x14ac:dyDescent="0.25">
      <c r="A60" s="2" t="s">
        <v>115</v>
      </c>
      <c r="B60" s="2" t="s">
        <v>30</v>
      </c>
      <c r="C60" s="3">
        <v>2180</v>
      </c>
      <c r="D60" s="2">
        <v>263</v>
      </c>
      <c r="E60" s="2">
        <v>387</v>
      </c>
      <c r="F60" s="3">
        <v>30520</v>
      </c>
      <c r="G60" s="8">
        <f>((Posts!F60+Posts!G60+Posts!H60)/Posts!I60)*100</f>
        <v>9.2726081258191346</v>
      </c>
    </row>
    <row r="61" spans="1:7" x14ac:dyDescent="0.25">
      <c r="A61" s="2" t="s">
        <v>116</v>
      </c>
      <c r="B61" s="2" t="s">
        <v>30</v>
      </c>
      <c r="C61" s="3">
        <v>904</v>
      </c>
      <c r="D61" s="2">
        <v>973</v>
      </c>
      <c r="E61" s="2">
        <v>63</v>
      </c>
      <c r="F61" s="3">
        <v>11752</v>
      </c>
      <c r="G61" s="8">
        <f>((Posts!F61+Posts!G61+Posts!H61)/Posts!I61)*100</f>
        <v>16.507828454731111</v>
      </c>
    </row>
    <row r="62" spans="1:7" x14ac:dyDescent="0.25">
      <c r="A62" s="2" t="s">
        <v>118</v>
      </c>
      <c r="B62" s="2" t="s">
        <v>14</v>
      </c>
      <c r="C62" s="3">
        <v>4886</v>
      </c>
      <c r="D62" s="2">
        <v>983</v>
      </c>
      <c r="E62" s="2">
        <v>409</v>
      </c>
      <c r="F62" s="3">
        <v>43974</v>
      </c>
      <c r="G62" s="8">
        <f>((Posts!F62+Posts!G62+Posts!H62)/Posts!I62)*100</f>
        <v>14.276618001546368</v>
      </c>
    </row>
    <row r="63" spans="1:7" x14ac:dyDescent="0.25">
      <c r="A63" s="2" t="s">
        <v>119</v>
      </c>
      <c r="B63" s="2" t="s">
        <v>14</v>
      </c>
      <c r="C63" s="3">
        <v>53</v>
      </c>
      <c r="D63" s="2">
        <v>81</v>
      </c>
      <c r="E63" s="2">
        <v>379</v>
      </c>
      <c r="F63" s="3">
        <v>954</v>
      </c>
      <c r="G63" s="8">
        <f>((Posts!F63+Posts!G63+Posts!H63)/Posts!I63)*100</f>
        <v>53.773584905660378</v>
      </c>
    </row>
    <row r="64" spans="1:7" x14ac:dyDescent="0.25">
      <c r="A64" s="2" t="s">
        <v>120</v>
      </c>
      <c r="B64" s="2" t="s">
        <v>14</v>
      </c>
      <c r="C64" s="3">
        <v>4507</v>
      </c>
      <c r="D64" s="2">
        <v>217</v>
      </c>
      <c r="E64" s="2">
        <v>13</v>
      </c>
      <c r="F64" s="3">
        <v>90140</v>
      </c>
      <c r="G64" s="8">
        <f>((Posts!F64+Posts!G64+Posts!H64)/Posts!I64)*100</f>
        <v>5.2551586421122698</v>
      </c>
    </row>
    <row r="65" spans="1:7" x14ac:dyDescent="0.25">
      <c r="A65" s="2" t="s">
        <v>121</v>
      </c>
      <c r="B65" s="2" t="s">
        <v>38</v>
      </c>
      <c r="C65" s="3">
        <v>2878</v>
      </c>
      <c r="D65" s="2">
        <v>248</v>
      </c>
      <c r="E65" s="2">
        <v>416</v>
      </c>
      <c r="F65" s="3">
        <v>43170</v>
      </c>
      <c r="G65" s="8">
        <f>((Posts!F65+Posts!G65+Posts!H65)/Posts!I65)*100</f>
        <v>8.2047718322909429</v>
      </c>
    </row>
    <row r="66" spans="1:7" x14ac:dyDescent="0.25">
      <c r="A66" s="2" t="s">
        <v>122</v>
      </c>
      <c r="B66" s="2" t="s">
        <v>30</v>
      </c>
      <c r="C66" s="3">
        <v>1881</v>
      </c>
      <c r="D66" s="2">
        <v>501</v>
      </c>
      <c r="E66" s="2">
        <v>99</v>
      </c>
      <c r="F66" s="3">
        <v>20691</v>
      </c>
      <c r="G66" s="8">
        <f>((Posts!F66+Posts!G66+Posts!H66)/Posts!I66)*100</f>
        <v>11.990720603160794</v>
      </c>
    </row>
    <row r="67" spans="1:7" x14ac:dyDescent="0.25">
      <c r="A67" s="2" t="s">
        <v>123</v>
      </c>
      <c r="B67" s="2" t="s">
        <v>14</v>
      </c>
      <c r="C67" s="3">
        <v>432</v>
      </c>
      <c r="D67" s="2">
        <v>171</v>
      </c>
      <c r="E67" s="2">
        <v>280</v>
      </c>
      <c r="F67" s="3">
        <v>3024</v>
      </c>
      <c r="G67" s="8">
        <f>((Posts!F67+Posts!G67+Posts!H67)/Posts!I67)*100</f>
        <v>29.199735449735449</v>
      </c>
    </row>
    <row r="68" spans="1:7" x14ac:dyDescent="0.25">
      <c r="A68" s="2" t="s">
        <v>124</v>
      </c>
      <c r="B68" s="2" t="s">
        <v>38</v>
      </c>
      <c r="C68" s="3">
        <v>4712</v>
      </c>
      <c r="D68" s="2">
        <v>568</v>
      </c>
      <c r="E68" s="2">
        <v>127</v>
      </c>
      <c r="F68" s="3">
        <v>84816</v>
      </c>
      <c r="G68" s="8">
        <f>((Posts!F68+Posts!G68+Posts!H68)/Posts!I68)*100</f>
        <v>6.3749764195434819</v>
      </c>
    </row>
    <row r="69" spans="1:7" x14ac:dyDescent="0.25">
      <c r="A69" s="2" t="s">
        <v>125</v>
      </c>
      <c r="B69" s="2" t="s">
        <v>30</v>
      </c>
      <c r="C69" s="3">
        <v>2610</v>
      </c>
      <c r="D69" s="2">
        <v>126</v>
      </c>
      <c r="E69" s="2">
        <v>288</v>
      </c>
      <c r="F69" s="3">
        <v>15660</v>
      </c>
      <c r="G69" s="8">
        <f>((Posts!F69+Posts!G69+Posts!H69)/Posts!I69)*100</f>
        <v>19.310344827586206</v>
      </c>
    </row>
    <row r="70" spans="1:7" x14ac:dyDescent="0.25">
      <c r="A70" s="2" t="s">
        <v>126</v>
      </c>
      <c r="B70" s="2" t="s">
        <v>14</v>
      </c>
      <c r="C70" s="3">
        <v>1292</v>
      </c>
      <c r="D70" s="2">
        <v>626</v>
      </c>
      <c r="E70" s="2">
        <v>496</v>
      </c>
      <c r="F70" s="3">
        <v>25840</v>
      </c>
      <c r="G70" s="8">
        <f>((Posts!F70+Posts!G70+Posts!H70)/Posts!I70)*100</f>
        <v>9.3421052631578938</v>
      </c>
    </row>
    <row r="71" spans="1:7" x14ac:dyDescent="0.25">
      <c r="A71" s="2" t="s">
        <v>127</v>
      </c>
      <c r="B71" s="2" t="s">
        <v>38</v>
      </c>
      <c r="C71" s="3">
        <v>199</v>
      </c>
      <c r="D71" s="2">
        <v>772</v>
      </c>
      <c r="E71" s="2">
        <v>400</v>
      </c>
      <c r="F71" s="3">
        <v>3582</v>
      </c>
      <c r="G71" s="8">
        <f>((Posts!F71+Posts!G71+Posts!H71)/Posts!I71)*100</f>
        <v>38.274706867671696</v>
      </c>
    </row>
    <row r="72" spans="1:7" x14ac:dyDescent="0.25">
      <c r="A72" s="2" t="s">
        <v>128</v>
      </c>
      <c r="B72" s="2" t="s">
        <v>25</v>
      </c>
      <c r="C72" s="3">
        <v>2551</v>
      </c>
      <c r="D72" s="2">
        <v>915</v>
      </c>
      <c r="E72" s="2">
        <v>205</v>
      </c>
      <c r="F72" s="3">
        <v>30612</v>
      </c>
      <c r="G72" s="8">
        <f>((Posts!F72+Posts!G72+Posts!H72)/Posts!I72)*100</f>
        <v>11.992029269567491</v>
      </c>
    </row>
    <row r="73" spans="1:7" x14ac:dyDescent="0.25">
      <c r="A73" s="2" t="s">
        <v>129</v>
      </c>
      <c r="B73" s="2" t="s">
        <v>25</v>
      </c>
      <c r="C73" s="3">
        <v>296</v>
      </c>
      <c r="D73" s="2">
        <v>60</v>
      </c>
      <c r="E73" s="2">
        <v>141</v>
      </c>
      <c r="F73" s="3">
        <v>5624</v>
      </c>
      <c r="G73" s="8">
        <f>((Posts!F73+Posts!G73+Posts!H73)/Posts!I73)*100</f>
        <v>8.8371266002844955</v>
      </c>
    </row>
    <row r="74" spans="1:7" x14ac:dyDescent="0.25">
      <c r="A74" s="2" t="s">
        <v>130</v>
      </c>
      <c r="B74" s="2" t="s">
        <v>38</v>
      </c>
      <c r="C74" s="3">
        <v>4126</v>
      </c>
      <c r="D74" s="2">
        <v>426</v>
      </c>
      <c r="E74" s="2">
        <v>486</v>
      </c>
      <c r="F74" s="3">
        <v>78394</v>
      </c>
      <c r="G74" s="8">
        <f>((Posts!F74+Posts!G74+Posts!H74)/Posts!I74)*100</f>
        <v>6.4265122330790625</v>
      </c>
    </row>
    <row r="75" spans="1:7" x14ac:dyDescent="0.25">
      <c r="A75" s="2" t="s">
        <v>131</v>
      </c>
      <c r="B75" s="2" t="s">
        <v>25</v>
      </c>
      <c r="C75" s="3">
        <v>1855</v>
      </c>
      <c r="D75" s="2">
        <v>200</v>
      </c>
      <c r="E75" s="2">
        <v>174</v>
      </c>
      <c r="F75" s="3">
        <v>16695</v>
      </c>
      <c r="G75" s="8">
        <f>((Posts!F75+Posts!G75+Posts!H75)/Posts!I75)*100</f>
        <v>13.351302785265048</v>
      </c>
    </row>
    <row r="76" spans="1:7" x14ac:dyDescent="0.25">
      <c r="A76" s="2" t="s">
        <v>132</v>
      </c>
      <c r="B76" s="2" t="s">
        <v>30</v>
      </c>
      <c r="C76" s="3">
        <v>1674</v>
      </c>
      <c r="D76" s="2">
        <v>929</v>
      </c>
      <c r="E76" s="2">
        <v>37</v>
      </c>
      <c r="F76" s="3">
        <v>21762</v>
      </c>
      <c r="G76" s="8">
        <f>((Posts!F76+Posts!G76+Posts!H76)/Posts!I76)*100</f>
        <v>12.131237937689551</v>
      </c>
    </row>
    <row r="77" spans="1:7" x14ac:dyDescent="0.25">
      <c r="A77" s="2" t="s">
        <v>133</v>
      </c>
      <c r="B77" s="2" t="s">
        <v>14</v>
      </c>
      <c r="C77" s="3">
        <v>1121</v>
      </c>
      <c r="D77" s="2">
        <v>135</v>
      </c>
      <c r="E77" s="2">
        <v>18</v>
      </c>
      <c r="F77" s="3">
        <v>15694</v>
      </c>
      <c r="G77" s="8">
        <f>((Posts!F77+Posts!G77+Posts!H77)/Posts!I77)*100</f>
        <v>8.1177520071364846</v>
      </c>
    </row>
    <row r="78" spans="1:7" x14ac:dyDescent="0.25">
      <c r="A78" s="2" t="s">
        <v>134</v>
      </c>
      <c r="B78" s="2" t="s">
        <v>38</v>
      </c>
      <c r="C78" s="3">
        <v>1249</v>
      </c>
      <c r="D78" s="2">
        <v>116</v>
      </c>
      <c r="E78" s="2">
        <v>420</v>
      </c>
      <c r="F78" s="3">
        <v>8743</v>
      </c>
      <c r="G78" s="8">
        <f>((Posts!F78+Posts!G78+Posts!H78)/Posts!I78)*100</f>
        <v>20.416333066453163</v>
      </c>
    </row>
    <row r="79" spans="1:7" x14ac:dyDescent="0.25">
      <c r="A79" s="2" t="s">
        <v>135</v>
      </c>
      <c r="B79" s="2" t="s">
        <v>14</v>
      </c>
      <c r="C79" s="3">
        <v>954</v>
      </c>
      <c r="D79" s="2">
        <v>324</v>
      </c>
      <c r="E79" s="2">
        <v>288</v>
      </c>
      <c r="F79" s="3">
        <v>19080</v>
      </c>
      <c r="G79" s="8">
        <f>((Posts!F79+Posts!G79+Posts!H79)/Posts!I79)*100</f>
        <v>8.2075471698113205</v>
      </c>
    </row>
    <row r="80" spans="1:7" x14ac:dyDescent="0.25">
      <c r="A80" s="2" t="s">
        <v>136</v>
      </c>
      <c r="B80" s="2" t="s">
        <v>30</v>
      </c>
      <c r="C80" s="3">
        <v>3068</v>
      </c>
      <c r="D80" s="2">
        <v>137</v>
      </c>
      <c r="E80" s="2">
        <v>329</v>
      </c>
      <c r="F80" s="3">
        <v>39884</v>
      </c>
      <c r="G80" s="8">
        <f>((Posts!F80+Posts!G80+Posts!H80)/Posts!I80)*100</f>
        <v>8.8606960184535151</v>
      </c>
    </row>
    <row r="81" spans="1:7" x14ac:dyDescent="0.25">
      <c r="A81" s="2" t="s">
        <v>137</v>
      </c>
      <c r="B81" s="2" t="s">
        <v>30</v>
      </c>
      <c r="C81" s="3">
        <v>2103</v>
      </c>
      <c r="D81" s="2">
        <v>892</v>
      </c>
      <c r="E81" s="2">
        <v>103</v>
      </c>
      <c r="F81" s="3">
        <v>39957</v>
      </c>
      <c r="G81" s="8">
        <f>((Posts!F81+Posts!G81+Posts!H81)/Posts!I81)*100</f>
        <v>7.7533348349475686</v>
      </c>
    </row>
    <row r="82" spans="1:7" x14ac:dyDescent="0.25">
      <c r="A82" s="2" t="s">
        <v>138</v>
      </c>
      <c r="B82" s="2" t="s">
        <v>30</v>
      </c>
      <c r="C82" s="3">
        <v>1816</v>
      </c>
      <c r="D82" s="2">
        <v>29</v>
      </c>
      <c r="E82" s="2">
        <v>41</v>
      </c>
      <c r="F82" s="3">
        <v>19976</v>
      </c>
      <c r="G82" s="8">
        <f>((Posts!F82+Posts!G82+Posts!H82)/Posts!I82)*100</f>
        <v>9.4413295955146186</v>
      </c>
    </row>
    <row r="83" spans="1:7" x14ac:dyDescent="0.25">
      <c r="A83" s="2" t="s">
        <v>139</v>
      </c>
      <c r="B83" s="2" t="s">
        <v>30</v>
      </c>
      <c r="C83" s="3">
        <v>725</v>
      </c>
      <c r="D83" s="2">
        <v>88</v>
      </c>
      <c r="E83" s="2">
        <v>428</v>
      </c>
      <c r="F83" s="3">
        <v>14500</v>
      </c>
      <c r="G83" s="8">
        <f>((Posts!F83+Posts!G83+Posts!H83)/Posts!I83)*100</f>
        <v>8.5586206896551715</v>
      </c>
    </row>
    <row r="84" spans="1:7" x14ac:dyDescent="0.25">
      <c r="A84" s="2" t="s">
        <v>142</v>
      </c>
      <c r="B84" s="2" t="s">
        <v>25</v>
      </c>
      <c r="C84" s="3">
        <v>1094</v>
      </c>
      <c r="D84" s="2">
        <v>472</v>
      </c>
      <c r="E84" s="2">
        <v>21</v>
      </c>
      <c r="F84" s="3">
        <v>9846</v>
      </c>
      <c r="G84" s="8">
        <f>((Posts!F84+Posts!G84+Posts!H84)/Posts!I84)*100</f>
        <v>16.118220597196832</v>
      </c>
    </row>
    <row r="85" spans="1:7" x14ac:dyDescent="0.25">
      <c r="A85" s="2" t="s">
        <v>144</v>
      </c>
      <c r="B85" s="2" t="s">
        <v>38</v>
      </c>
      <c r="C85" s="3">
        <v>1841</v>
      </c>
      <c r="D85" s="2">
        <v>851</v>
      </c>
      <c r="E85" s="2">
        <v>342</v>
      </c>
      <c r="F85" s="3">
        <v>34979</v>
      </c>
      <c r="G85" s="8">
        <f>((Posts!F85+Posts!G85+Posts!H85)/Posts!I85)*100</f>
        <v>8.673775693987821</v>
      </c>
    </row>
    <row r="86" spans="1:7" x14ac:dyDescent="0.25">
      <c r="A86" s="2" t="s">
        <v>145</v>
      </c>
      <c r="B86" s="2" t="s">
        <v>30</v>
      </c>
      <c r="C86" s="3">
        <v>4177</v>
      </c>
      <c r="D86" s="2">
        <v>569</v>
      </c>
      <c r="E86" s="2">
        <v>55</v>
      </c>
      <c r="F86" s="3">
        <v>25062</v>
      </c>
      <c r="G86" s="8">
        <f>((Posts!F86+Posts!G86+Posts!H86)/Posts!I86)*100</f>
        <v>19.156491900087783</v>
      </c>
    </row>
    <row r="87" spans="1:7" x14ac:dyDescent="0.25">
      <c r="A87" s="2" t="s">
        <v>146</v>
      </c>
      <c r="B87" s="2" t="s">
        <v>25</v>
      </c>
      <c r="C87" s="3">
        <v>3428</v>
      </c>
      <c r="D87" s="2">
        <v>305</v>
      </c>
      <c r="E87" s="2">
        <v>85</v>
      </c>
      <c r="F87" s="3">
        <v>58276</v>
      </c>
      <c r="G87" s="8">
        <f>((Posts!F87+Posts!G87+Posts!H87)/Posts!I87)*100</f>
        <v>6.5515821264328364</v>
      </c>
    </row>
    <row r="88" spans="1:7" x14ac:dyDescent="0.25">
      <c r="A88" s="2" t="s">
        <v>147</v>
      </c>
      <c r="B88" s="2" t="s">
        <v>14</v>
      </c>
      <c r="C88" s="3">
        <v>1436</v>
      </c>
      <c r="D88" s="2">
        <v>765</v>
      </c>
      <c r="E88" s="2">
        <v>496</v>
      </c>
      <c r="F88" s="3">
        <v>12924</v>
      </c>
      <c r="G88" s="8">
        <f>((Posts!F88+Posts!G88+Posts!H88)/Posts!I88)*100</f>
        <v>20.868152274837513</v>
      </c>
    </row>
    <row r="89" spans="1:7" x14ac:dyDescent="0.25">
      <c r="A89" s="2" t="s">
        <v>148</v>
      </c>
      <c r="B89" s="2" t="s">
        <v>38</v>
      </c>
      <c r="C89" s="3">
        <v>302</v>
      </c>
      <c r="D89" s="2">
        <v>47</v>
      </c>
      <c r="E89" s="2">
        <v>430</v>
      </c>
      <c r="F89" s="3">
        <v>5738</v>
      </c>
      <c r="G89" s="8">
        <f>((Posts!F89+Posts!G89+Posts!H89)/Posts!I89)*100</f>
        <v>13.576158940397351</v>
      </c>
    </row>
    <row r="90" spans="1:7" x14ac:dyDescent="0.25">
      <c r="A90" s="2" t="s">
        <v>149</v>
      </c>
      <c r="B90" s="2" t="s">
        <v>14</v>
      </c>
      <c r="C90" s="3">
        <v>2214</v>
      </c>
      <c r="D90" s="2">
        <v>249</v>
      </c>
      <c r="E90" s="2">
        <v>152</v>
      </c>
      <c r="F90" s="3">
        <v>15498</v>
      </c>
      <c r="G90" s="8">
        <f>((Posts!F90+Posts!G90+Posts!H90)/Posts!I90)*100</f>
        <v>16.873144921925409</v>
      </c>
    </row>
    <row r="91" spans="1:7" x14ac:dyDescent="0.25">
      <c r="A91" s="2" t="s">
        <v>150</v>
      </c>
      <c r="B91" s="2" t="s">
        <v>30</v>
      </c>
      <c r="C91" s="3">
        <v>3861</v>
      </c>
      <c r="D91" s="2">
        <v>960</v>
      </c>
      <c r="E91" s="2">
        <v>101</v>
      </c>
      <c r="F91" s="3">
        <v>69498</v>
      </c>
      <c r="G91" s="8">
        <f>((Posts!F91+Posts!G91+Posts!H91)/Posts!I91)*100</f>
        <v>7.0822181933293038</v>
      </c>
    </row>
    <row r="92" spans="1:7" x14ac:dyDescent="0.25">
      <c r="A92" s="2" t="s">
        <v>151</v>
      </c>
      <c r="B92" s="2" t="s">
        <v>38</v>
      </c>
      <c r="C92" s="3">
        <v>1263</v>
      </c>
      <c r="D92" s="2">
        <v>397</v>
      </c>
      <c r="E92" s="2">
        <v>357</v>
      </c>
      <c r="F92" s="3">
        <v>25260</v>
      </c>
      <c r="G92" s="8">
        <f>((Posts!F92+Posts!G92+Posts!H92)/Posts!I92)*100</f>
        <v>7.9849564528899446</v>
      </c>
    </row>
    <row r="93" spans="1:7" x14ac:dyDescent="0.25">
      <c r="A93" s="2" t="s">
        <v>152</v>
      </c>
      <c r="B93" s="2" t="s">
        <v>14</v>
      </c>
      <c r="C93" s="3">
        <v>3801</v>
      </c>
      <c r="D93" s="2">
        <v>967</v>
      </c>
      <c r="E93" s="2">
        <v>401</v>
      </c>
      <c r="F93" s="3">
        <v>38010</v>
      </c>
      <c r="G93" s="8">
        <f>((Posts!F93+Posts!G93+Posts!H93)/Posts!I93)*100</f>
        <v>13.599052880820835</v>
      </c>
    </row>
    <row r="94" spans="1:7" x14ac:dyDescent="0.25">
      <c r="A94" s="2" t="s">
        <v>153</v>
      </c>
      <c r="B94" s="2" t="s">
        <v>30</v>
      </c>
      <c r="C94" s="3">
        <v>1431</v>
      </c>
      <c r="D94" s="2">
        <v>951</v>
      </c>
      <c r="E94" s="2">
        <v>26</v>
      </c>
      <c r="F94" s="3">
        <v>8586</v>
      </c>
      <c r="G94" s="8">
        <f>((Posts!F94+Posts!G94+Posts!H94)/Posts!I94)*100</f>
        <v>28.045655718611695</v>
      </c>
    </row>
    <row r="95" spans="1:7" x14ac:dyDescent="0.25">
      <c r="A95" s="2" t="s">
        <v>154</v>
      </c>
      <c r="B95" s="2" t="s">
        <v>30</v>
      </c>
      <c r="C95" s="3">
        <v>2647</v>
      </c>
      <c r="D95" s="2">
        <v>304</v>
      </c>
      <c r="E95" s="2">
        <v>170</v>
      </c>
      <c r="F95" s="3">
        <v>18529</v>
      </c>
      <c r="G95" s="8">
        <f>((Posts!F95+Posts!G95+Posts!H95)/Posts!I95)*100</f>
        <v>16.843866371633656</v>
      </c>
    </row>
    <row r="96" spans="1:7" x14ac:dyDescent="0.25">
      <c r="A96" s="2" t="s">
        <v>155</v>
      </c>
      <c r="B96" s="2" t="s">
        <v>30</v>
      </c>
      <c r="C96" s="3">
        <v>3182</v>
      </c>
      <c r="D96" s="2">
        <v>559</v>
      </c>
      <c r="E96" s="2">
        <v>160</v>
      </c>
      <c r="F96" s="3">
        <v>57276</v>
      </c>
      <c r="G96" s="8">
        <f>((Posts!F96+Posts!G96+Posts!H96)/Posts!I96)*100</f>
        <v>6.8108806480899506</v>
      </c>
    </row>
    <row r="97" spans="1:7" x14ac:dyDescent="0.25">
      <c r="A97" s="2" t="s">
        <v>156</v>
      </c>
      <c r="B97" s="2" t="s">
        <v>14</v>
      </c>
      <c r="C97" s="3">
        <v>1238</v>
      </c>
      <c r="D97" s="2">
        <v>366</v>
      </c>
      <c r="E97" s="2">
        <v>444</v>
      </c>
      <c r="F97" s="3">
        <v>19808</v>
      </c>
      <c r="G97" s="8">
        <f>((Posts!F97+Posts!G97+Posts!H97)/Posts!I97)*100</f>
        <v>10.339256865912763</v>
      </c>
    </row>
    <row r="98" spans="1:7" x14ac:dyDescent="0.25">
      <c r="A98" s="2" t="s">
        <v>157</v>
      </c>
      <c r="B98" s="2" t="s">
        <v>30</v>
      </c>
      <c r="C98" s="3">
        <v>4739</v>
      </c>
      <c r="D98" s="2">
        <v>527</v>
      </c>
      <c r="E98" s="2">
        <v>135</v>
      </c>
      <c r="F98" s="3">
        <v>61607</v>
      </c>
      <c r="G98" s="8">
        <f>((Posts!F98+Posts!G98+Posts!H98)/Posts!I98)*100</f>
        <v>8.7668609086629772</v>
      </c>
    </row>
    <row r="99" spans="1:7" x14ac:dyDescent="0.25">
      <c r="A99" s="2" t="s">
        <v>158</v>
      </c>
      <c r="B99" s="2" t="s">
        <v>14</v>
      </c>
      <c r="C99" s="3">
        <v>1575</v>
      </c>
      <c r="D99" s="2">
        <v>771</v>
      </c>
      <c r="E99" s="2">
        <v>486</v>
      </c>
      <c r="F99" s="3">
        <v>25200</v>
      </c>
      <c r="G99" s="8">
        <f>((Posts!F99+Posts!G99+Posts!H99)/Posts!I99)*100</f>
        <v>11.238095238095239</v>
      </c>
    </row>
    <row r="100" spans="1:7" x14ac:dyDescent="0.25">
      <c r="A100" s="2" t="s">
        <v>159</v>
      </c>
      <c r="B100" s="2" t="s">
        <v>25</v>
      </c>
      <c r="C100" s="3">
        <v>4171</v>
      </c>
      <c r="D100" s="2">
        <v>548</v>
      </c>
      <c r="E100" s="2">
        <v>86</v>
      </c>
      <c r="F100" s="3">
        <v>66736</v>
      </c>
      <c r="G100" s="8">
        <f>((Posts!F100+Posts!G100+Posts!H100)/Posts!I100)*100</f>
        <v>7.2000119875329656</v>
      </c>
    </row>
    <row r="101" spans="1:7" x14ac:dyDescent="0.25">
      <c r="A101" s="2" t="s">
        <v>160</v>
      </c>
      <c r="B101" s="2" t="s">
        <v>25</v>
      </c>
      <c r="C101" s="3">
        <v>1766</v>
      </c>
      <c r="D101" s="2">
        <v>92</v>
      </c>
      <c r="E101" s="2">
        <v>424</v>
      </c>
      <c r="F101" s="3">
        <v>24724</v>
      </c>
      <c r="G101" s="8">
        <f>((Posts!F101+Posts!G101+Posts!H101)/Posts!I101)*100</f>
        <v>9.2298980747451864</v>
      </c>
    </row>
    <row r="102" spans="1:7" x14ac:dyDescent="0.25">
      <c r="A102" s="2" t="s">
        <v>161</v>
      </c>
      <c r="B102" s="2" t="s">
        <v>25</v>
      </c>
      <c r="C102" s="3">
        <v>4450</v>
      </c>
      <c r="D102" s="2">
        <v>983</v>
      </c>
      <c r="E102" s="2">
        <v>143</v>
      </c>
      <c r="F102" s="3">
        <v>75650</v>
      </c>
      <c r="G102" s="8">
        <f>((Posts!F102+Posts!G102+Posts!H102)/Posts!I102)*100</f>
        <v>7.3707865168539328</v>
      </c>
    </row>
    <row r="103" spans="1:7" x14ac:dyDescent="0.25">
      <c r="A103" s="2" t="s">
        <v>162</v>
      </c>
      <c r="B103" s="2" t="s">
        <v>14</v>
      </c>
      <c r="C103" s="3">
        <v>1000</v>
      </c>
      <c r="D103" s="2">
        <v>978</v>
      </c>
      <c r="E103" s="2">
        <v>162</v>
      </c>
      <c r="F103" s="3">
        <v>6000</v>
      </c>
      <c r="G103" s="8">
        <f>((Posts!F103+Posts!G103+Posts!H103)/Posts!I103)*100</f>
        <v>35.666666666666671</v>
      </c>
    </row>
    <row r="104" spans="1:7" x14ac:dyDescent="0.25">
      <c r="A104" s="2" t="s">
        <v>163</v>
      </c>
      <c r="B104" s="2" t="s">
        <v>38</v>
      </c>
      <c r="C104" s="3">
        <v>3689</v>
      </c>
      <c r="D104" s="2">
        <v>48</v>
      </c>
      <c r="E104" s="2">
        <v>306</v>
      </c>
      <c r="F104" s="3">
        <v>40579</v>
      </c>
      <c r="G104" s="8">
        <f>((Posts!F104+Posts!G104+Posts!H104)/Posts!I104)*100</f>
        <v>9.963281500283399</v>
      </c>
    </row>
    <row r="105" spans="1:7" x14ac:dyDescent="0.25">
      <c r="A105" s="2" t="s">
        <v>164</v>
      </c>
      <c r="B105" s="2" t="s">
        <v>25</v>
      </c>
      <c r="C105" s="3">
        <v>3655</v>
      </c>
      <c r="D105" s="2">
        <v>568</v>
      </c>
      <c r="E105" s="2">
        <v>286</v>
      </c>
      <c r="F105" s="3">
        <v>32895</v>
      </c>
      <c r="G105" s="8">
        <f>((Posts!F105+Posts!G105+Posts!H105)/Posts!I105)*100</f>
        <v>13.707250341997264</v>
      </c>
    </row>
    <row r="106" spans="1:7" x14ac:dyDescent="0.25">
      <c r="A106" s="2" t="s">
        <v>165</v>
      </c>
      <c r="B106" s="2" t="s">
        <v>30</v>
      </c>
      <c r="C106" s="3">
        <v>498</v>
      </c>
      <c r="D106" s="2">
        <v>38</v>
      </c>
      <c r="E106" s="2">
        <v>42</v>
      </c>
      <c r="F106" s="3">
        <v>4482</v>
      </c>
      <c r="G106" s="8">
        <f>((Posts!F106+Posts!G106+Posts!H106)/Posts!I106)*100</f>
        <v>12.896028558679163</v>
      </c>
    </row>
    <row r="107" spans="1:7" x14ac:dyDescent="0.25">
      <c r="A107" s="2" t="s">
        <v>166</v>
      </c>
      <c r="B107" s="2" t="s">
        <v>30</v>
      </c>
      <c r="C107" s="3">
        <v>4619</v>
      </c>
      <c r="D107" s="2">
        <v>821</v>
      </c>
      <c r="E107" s="2">
        <v>499</v>
      </c>
      <c r="F107" s="3">
        <v>69285</v>
      </c>
      <c r="G107" s="8">
        <f>((Posts!F107+Posts!G107+Posts!H107)/Posts!I107)*100</f>
        <v>8.5718409468138841</v>
      </c>
    </row>
    <row r="108" spans="1:7" x14ac:dyDescent="0.25">
      <c r="A108" s="2" t="s">
        <v>167</v>
      </c>
      <c r="B108" s="2" t="s">
        <v>25</v>
      </c>
      <c r="C108" s="3">
        <v>4832</v>
      </c>
      <c r="D108" s="2">
        <v>893</v>
      </c>
      <c r="E108" s="2">
        <v>10</v>
      </c>
      <c r="F108" s="3">
        <v>91808</v>
      </c>
      <c r="G108" s="8">
        <f>((Posts!F108+Posts!G108+Posts!H108)/Posts!I108)*100</f>
        <v>6.2467323109097244</v>
      </c>
    </row>
    <row r="109" spans="1:7" x14ac:dyDescent="0.25">
      <c r="A109" s="2" t="s">
        <v>168</v>
      </c>
      <c r="B109" s="2" t="s">
        <v>14</v>
      </c>
      <c r="C109" s="3">
        <v>4050</v>
      </c>
      <c r="D109" s="2">
        <v>871</v>
      </c>
      <c r="E109" s="2">
        <v>347</v>
      </c>
      <c r="F109" s="3">
        <v>52650</v>
      </c>
      <c r="G109" s="8">
        <f>((Posts!F109+Posts!G109+Posts!H109)/Posts!I109)*100</f>
        <v>10.005698005698006</v>
      </c>
    </row>
    <row r="110" spans="1:7" x14ac:dyDescent="0.25">
      <c r="A110" s="2" t="s">
        <v>169</v>
      </c>
      <c r="B110" s="2" t="s">
        <v>14</v>
      </c>
      <c r="C110" s="3">
        <v>3649</v>
      </c>
      <c r="D110" s="2">
        <v>215</v>
      </c>
      <c r="E110" s="2">
        <v>413</v>
      </c>
      <c r="F110" s="3">
        <v>25543</v>
      </c>
      <c r="G110" s="8">
        <f>((Posts!F110+Posts!G110+Posts!H110)/Posts!I110)*100</f>
        <v>16.744313510550835</v>
      </c>
    </row>
    <row r="111" spans="1:7" x14ac:dyDescent="0.25">
      <c r="A111" s="2" t="s">
        <v>170</v>
      </c>
      <c r="B111" s="2" t="s">
        <v>30</v>
      </c>
      <c r="C111" s="3">
        <v>3523</v>
      </c>
      <c r="D111" s="2">
        <v>753</v>
      </c>
      <c r="E111" s="2">
        <v>482</v>
      </c>
      <c r="F111" s="3">
        <v>38753</v>
      </c>
      <c r="G111" s="8">
        <f>((Posts!F111+Posts!G111+Posts!H111)/Posts!I111)*100</f>
        <v>12.277759141227776</v>
      </c>
    </row>
    <row r="112" spans="1:7" x14ac:dyDescent="0.25">
      <c r="A112" s="2" t="s">
        <v>171</v>
      </c>
      <c r="B112" s="2" t="s">
        <v>25</v>
      </c>
      <c r="C112" s="3">
        <v>2719</v>
      </c>
      <c r="D112" s="2">
        <v>17</v>
      </c>
      <c r="E112" s="2">
        <v>285</v>
      </c>
      <c r="F112" s="3">
        <v>40785</v>
      </c>
      <c r="G112" s="8">
        <f>((Posts!F112+Posts!G112+Posts!H112)/Posts!I112)*100</f>
        <v>7.4071349760941523</v>
      </c>
    </row>
    <row r="113" spans="1:7" x14ac:dyDescent="0.25">
      <c r="A113" s="2" t="s">
        <v>172</v>
      </c>
      <c r="B113" s="2" t="s">
        <v>14</v>
      </c>
      <c r="C113" s="3">
        <v>1957</v>
      </c>
      <c r="D113" s="2">
        <v>877</v>
      </c>
      <c r="E113" s="2">
        <v>238</v>
      </c>
      <c r="F113" s="3">
        <v>17613</v>
      </c>
      <c r="G113" s="8">
        <f>((Posts!F113+Posts!G113+Posts!H113)/Posts!I113)*100</f>
        <v>17.441662408448305</v>
      </c>
    </row>
    <row r="114" spans="1:7" x14ac:dyDescent="0.25">
      <c r="A114" s="2" t="s">
        <v>173</v>
      </c>
      <c r="B114" s="2" t="s">
        <v>14</v>
      </c>
      <c r="C114" s="3">
        <v>4419</v>
      </c>
      <c r="D114" s="2">
        <v>236</v>
      </c>
      <c r="E114" s="2">
        <v>369</v>
      </c>
      <c r="F114" s="3">
        <v>44190</v>
      </c>
      <c r="G114" s="8">
        <f>((Posts!F114+Posts!G114+Posts!H114)/Posts!I114)*100</f>
        <v>11.369088028965828</v>
      </c>
    </row>
    <row r="115" spans="1:7" x14ac:dyDescent="0.25">
      <c r="A115" s="2" t="s">
        <v>174</v>
      </c>
      <c r="B115" s="2" t="s">
        <v>14</v>
      </c>
      <c r="C115" s="3">
        <v>4000</v>
      </c>
      <c r="D115" s="2">
        <v>689</v>
      </c>
      <c r="E115" s="2">
        <v>488</v>
      </c>
      <c r="F115" s="3">
        <v>40000</v>
      </c>
      <c r="G115" s="8">
        <f>((Posts!F115+Posts!G115+Posts!H115)/Posts!I115)*100</f>
        <v>12.942500000000001</v>
      </c>
    </row>
    <row r="116" spans="1:7" x14ac:dyDescent="0.25">
      <c r="A116" s="2" t="s">
        <v>175</v>
      </c>
      <c r="B116" s="2" t="s">
        <v>14</v>
      </c>
      <c r="C116" s="3">
        <v>2493</v>
      </c>
      <c r="D116" s="2">
        <v>97</v>
      </c>
      <c r="E116" s="2">
        <v>44</v>
      </c>
      <c r="F116" s="3">
        <v>42381</v>
      </c>
      <c r="G116" s="8">
        <f>((Posts!F116+Posts!G116+Posts!H116)/Posts!I116)*100</f>
        <v>6.2150491965739363</v>
      </c>
    </row>
    <row r="117" spans="1:7" x14ac:dyDescent="0.25">
      <c r="A117" s="2" t="s">
        <v>176</v>
      </c>
      <c r="B117" s="2" t="s">
        <v>25</v>
      </c>
      <c r="C117" s="3">
        <v>3704</v>
      </c>
      <c r="D117" s="2">
        <v>186</v>
      </c>
      <c r="E117" s="2">
        <v>458</v>
      </c>
      <c r="F117" s="3">
        <v>25928</v>
      </c>
      <c r="G117" s="8">
        <f>((Posts!F117+Posts!G117+Posts!H117)/Posts!I117)*100</f>
        <v>16.769515581610612</v>
      </c>
    </row>
    <row r="118" spans="1:7" x14ac:dyDescent="0.25">
      <c r="A118" s="2" t="s">
        <v>177</v>
      </c>
      <c r="B118" s="2" t="s">
        <v>14</v>
      </c>
      <c r="C118" s="3">
        <v>1606</v>
      </c>
      <c r="D118" s="2">
        <v>451</v>
      </c>
      <c r="E118" s="2">
        <v>405</v>
      </c>
      <c r="F118" s="3">
        <v>20878</v>
      </c>
      <c r="G118" s="8">
        <f>((Posts!F118+Posts!G118+Posts!H118)/Posts!I118)*100</f>
        <v>11.792317271769326</v>
      </c>
    </row>
    <row r="119" spans="1:7" x14ac:dyDescent="0.25">
      <c r="A119" s="2" t="s">
        <v>178</v>
      </c>
      <c r="B119" s="2" t="s">
        <v>38</v>
      </c>
      <c r="C119" s="3">
        <v>4551</v>
      </c>
      <c r="D119" s="2">
        <v>714</v>
      </c>
      <c r="E119" s="2">
        <v>207</v>
      </c>
      <c r="F119" s="3">
        <v>68265</v>
      </c>
      <c r="G119" s="8">
        <f>((Posts!F119+Posts!G119+Posts!H119)/Posts!I119)*100</f>
        <v>8.0158206987475271</v>
      </c>
    </row>
    <row r="120" spans="1:7" x14ac:dyDescent="0.25">
      <c r="A120" s="2" t="s">
        <v>179</v>
      </c>
      <c r="B120" s="2" t="s">
        <v>30</v>
      </c>
      <c r="C120" s="3">
        <v>1970</v>
      </c>
      <c r="D120" s="2">
        <v>675</v>
      </c>
      <c r="E120" s="2">
        <v>478</v>
      </c>
      <c r="F120" s="3">
        <v>9850</v>
      </c>
      <c r="G120" s="8">
        <f>((Posts!F120+Posts!G120+Posts!H120)/Posts!I120)*100</f>
        <v>31.705583756345177</v>
      </c>
    </row>
    <row r="121" spans="1:7" x14ac:dyDescent="0.25">
      <c r="A121" s="2" t="s">
        <v>180</v>
      </c>
      <c r="B121" s="2" t="s">
        <v>38</v>
      </c>
      <c r="C121" s="3">
        <v>780</v>
      </c>
      <c r="D121" s="2">
        <v>928</v>
      </c>
      <c r="E121" s="2">
        <v>301</v>
      </c>
      <c r="F121" s="3">
        <v>8580</v>
      </c>
      <c r="G121" s="8">
        <f>((Posts!F121+Posts!G121+Posts!H121)/Posts!I121)*100</f>
        <v>23.414918414918414</v>
      </c>
    </row>
    <row r="122" spans="1:7" x14ac:dyDescent="0.25">
      <c r="A122" s="2" t="s">
        <v>181</v>
      </c>
      <c r="B122" s="2" t="s">
        <v>30</v>
      </c>
      <c r="C122" s="3">
        <v>498</v>
      </c>
      <c r="D122" s="2">
        <v>701</v>
      </c>
      <c r="E122" s="2">
        <v>412</v>
      </c>
      <c r="F122" s="3">
        <v>4980</v>
      </c>
      <c r="G122" s="8">
        <f>((Posts!F122+Posts!G122+Posts!H122)/Posts!I122)*100</f>
        <v>32.349397590361448</v>
      </c>
    </row>
    <row r="123" spans="1:7" x14ac:dyDescent="0.25">
      <c r="A123" s="2" t="s">
        <v>182</v>
      </c>
      <c r="B123" s="2" t="s">
        <v>30</v>
      </c>
      <c r="C123" s="3">
        <v>3432</v>
      </c>
      <c r="D123" s="2">
        <v>869</v>
      </c>
      <c r="E123" s="2">
        <v>123</v>
      </c>
      <c r="F123" s="3">
        <v>54912</v>
      </c>
      <c r="G123" s="8">
        <f>((Posts!F123+Posts!G123+Posts!H123)/Posts!I123)*100</f>
        <v>8.0565268065268061</v>
      </c>
    </row>
    <row r="124" spans="1:7" x14ac:dyDescent="0.25">
      <c r="A124" s="2" t="s">
        <v>183</v>
      </c>
      <c r="B124" s="2" t="s">
        <v>30</v>
      </c>
      <c r="C124" s="3">
        <v>4363</v>
      </c>
      <c r="D124" s="2">
        <v>649</v>
      </c>
      <c r="E124" s="2">
        <v>140</v>
      </c>
      <c r="F124" s="3">
        <v>21815</v>
      </c>
      <c r="G124" s="8">
        <f>((Posts!F124+Posts!G124+Posts!H124)/Posts!I124)*100</f>
        <v>23.61677744671098</v>
      </c>
    </row>
    <row r="125" spans="1:7" x14ac:dyDescent="0.25">
      <c r="A125" s="2" t="s">
        <v>184</v>
      </c>
      <c r="B125" s="2" t="s">
        <v>25</v>
      </c>
      <c r="C125" s="3">
        <v>736</v>
      </c>
      <c r="D125" s="2">
        <v>771</v>
      </c>
      <c r="E125" s="2">
        <v>225</v>
      </c>
      <c r="F125" s="3">
        <v>5152</v>
      </c>
      <c r="G125" s="8">
        <f>((Posts!F125+Posts!G125+Posts!H125)/Posts!I125)*100</f>
        <v>33.618012422360252</v>
      </c>
    </row>
    <row r="126" spans="1:7" x14ac:dyDescent="0.25">
      <c r="A126" s="2" t="s">
        <v>185</v>
      </c>
      <c r="B126" s="2" t="s">
        <v>14</v>
      </c>
      <c r="C126" s="3">
        <v>3811</v>
      </c>
      <c r="D126" s="2">
        <v>866</v>
      </c>
      <c r="E126" s="2">
        <v>216</v>
      </c>
      <c r="F126" s="3">
        <v>34299</v>
      </c>
      <c r="G126" s="8">
        <f>((Posts!F126+Posts!G126+Posts!H126)/Posts!I126)*100</f>
        <v>14.265722032712326</v>
      </c>
    </row>
    <row r="127" spans="1:7" x14ac:dyDescent="0.25">
      <c r="A127" s="2" t="s">
        <v>186</v>
      </c>
      <c r="B127" s="2" t="s">
        <v>30</v>
      </c>
      <c r="C127" s="3">
        <v>4158</v>
      </c>
      <c r="D127" s="2">
        <v>167</v>
      </c>
      <c r="E127" s="2">
        <v>241</v>
      </c>
      <c r="F127" s="3">
        <v>45738</v>
      </c>
      <c r="G127" s="8">
        <f>((Posts!F127+Posts!G127+Posts!H127)/Posts!I127)*100</f>
        <v>9.9829463465827111</v>
      </c>
    </row>
    <row r="128" spans="1:7" x14ac:dyDescent="0.25">
      <c r="A128" s="2" t="s">
        <v>187</v>
      </c>
      <c r="B128" s="2" t="s">
        <v>38</v>
      </c>
      <c r="C128" s="3">
        <v>3452</v>
      </c>
      <c r="D128" s="2">
        <v>652</v>
      </c>
      <c r="E128" s="2">
        <v>442</v>
      </c>
      <c r="F128" s="3">
        <v>65588</v>
      </c>
      <c r="G128" s="8">
        <f>((Posts!F128+Posts!G128+Posts!H128)/Posts!I128)*100</f>
        <v>6.9311459413307315</v>
      </c>
    </row>
    <row r="129" spans="1:7" x14ac:dyDescent="0.25">
      <c r="A129" s="2" t="s">
        <v>188</v>
      </c>
      <c r="B129" s="2" t="s">
        <v>14</v>
      </c>
      <c r="C129" s="3">
        <v>3092</v>
      </c>
      <c r="D129" s="2">
        <v>106</v>
      </c>
      <c r="E129" s="2">
        <v>291</v>
      </c>
      <c r="F129" s="3">
        <v>27828</v>
      </c>
      <c r="G129" s="8">
        <f>((Posts!F129+Posts!G129+Posts!H129)/Posts!I129)*100</f>
        <v>12.537731780940058</v>
      </c>
    </row>
    <row r="130" spans="1:7" x14ac:dyDescent="0.25">
      <c r="A130" s="2" t="s">
        <v>189</v>
      </c>
      <c r="B130" s="2" t="s">
        <v>14</v>
      </c>
      <c r="C130" s="3">
        <v>2147</v>
      </c>
      <c r="D130" s="2">
        <v>430</v>
      </c>
      <c r="E130" s="2">
        <v>393</v>
      </c>
      <c r="F130" s="3">
        <v>17176</v>
      </c>
      <c r="G130" s="8">
        <f>((Posts!F130+Posts!G130+Posts!H130)/Posts!I130)*100</f>
        <v>17.291569632044716</v>
      </c>
    </row>
    <row r="131" spans="1:7" x14ac:dyDescent="0.25">
      <c r="A131" s="2" t="s">
        <v>190</v>
      </c>
      <c r="B131" s="2" t="s">
        <v>25</v>
      </c>
      <c r="C131" s="3">
        <v>2936</v>
      </c>
      <c r="D131" s="2">
        <v>439</v>
      </c>
      <c r="E131" s="2">
        <v>44</v>
      </c>
      <c r="F131" s="3">
        <v>38168</v>
      </c>
      <c r="G131" s="8">
        <f>((Posts!F131+Posts!G131+Posts!H131)/Posts!I131)*100</f>
        <v>8.9577656675749324</v>
      </c>
    </row>
    <row r="132" spans="1:7" x14ac:dyDescent="0.25">
      <c r="A132" s="2" t="s">
        <v>191</v>
      </c>
      <c r="B132" s="2" t="s">
        <v>30</v>
      </c>
      <c r="C132" s="3">
        <v>4840</v>
      </c>
      <c r="D132" s="2">
        <v>658</v>
      </c>
      <c r="E132" s="2">
        <v>211</v>
      </c>
      <c r="F132" s="3">
        <v>43560</v>
      </c>
      <c r="G132" s="8">
        <f>((Posts!F132+Posts!G132+Posts!H132)/Posts!I132)*100</f>
        <v>13.106060606060607</v>
      </c>
    </row>
    <row r="133" spans="1:7" x14ac:dyDescent="0.25">
      <c r="A133" s="2" t="s">
        <v>192</v>
      </c>
      <c r="B133" s="2" t="s">
        <v>30</v>
      </c>
      <c r="C133" s="3">
        <v>1947</v>
      </c>
      <c r="D133" s="2">
        <v>842</v>
      </c>
      <c r="E133" s="2">
        <v>101</v>
      </c>
      <c r="F133" s="3">
        <v>21417</v>
      </c>
      <c r="G133" s="8">
        <f>((Posts!F133+Posts!G133+Posts!H133)/Posts!I133)*100</f>
        <v>13.493953401503479</v>
      </c>
    </row>
    <row r="134" spans="1:7" x14ac:dyDescent="0.25">
      <c r="A134" s="2" t="s">
        <v>193</v>
      </c>
      <c r="B134" s="2" t="s">
        <v>38</v>
      </c>
      <c r="C134" s="3">
        <v>2072</v>
      </c>
      <c r="D134" s="2">
        <v>532</v>
      </c>
      <c r="E134" s="2">
        <v>71</v>
      </c>
      <c r="F134" s="3">
        <v>37296</v>
      </c>
      <c r="G134" s="8">
        <f>((Posts!F134+Posts!G134+Posts!H134)/Posts!I134)*100</f>
        <v>7.1723509223509225</v>
      </c>
    </row>
    <row r="135" spans="1:7" x14ac:dyDescent="0.25">
      <c r="A135" s="2" t="s">
        <v>194</v>
      </c>
      <c r="B135" s="2" t="s">
        <v>14</v>
      </c>
      <c r="C135" s="3">
        <v>3731</v>
      </c>
      <c r="D135" s="2">
        <v>115</v>
      </c>
      <c r="E135" s="2">
        <v>135</v>
      </c>
      <c r="F135" s="3">
        <v>55965</v>
      </c>
      <c r="G135" s="8">
        <f>((Posts!F135+Posts!G135+Posts!H135)/Posts!I135)*100</f>
        <v>7.1133744304476014</v>
      </c>
    </row>
    <row r="136" spans="1:7" x14ac:dyDescent="0.25">
      <c r="A136" s="2" t="s">
        <v>195</v>
      </c>
      <c r="B136" s="2" t="s">
        <v>38</v>
      </c>
      <c r="C136" s="3">
        <v>4213</v>
      </c>
      <c r="D136" s="2">
        <v>253</v>
      </c>
      <c r="E136" s="2">
        <v>434</v>
      </c>
      <c r="F136" s="3">
        <v>75834</v>
      </c>
      <c r="G136" s="8">
        <f>((Posts!F136+Posts!G136+Posts!H136)/Posts!I136)*100</f>
        <v>6.4614816573041116</v>
      </c>
    </row>
    <row r="137" spans="1:7" x14ac:dyDescent="0.25">
      <c r="A137" s="2" t="s">
        <v>196</v>
      </c>
      <c r="B137" s="2" t="s">
        <v>30</v>
      </c>
      <c r="C137" s="3">
        <v>3134</v>
      </c>
      <c r="D137" s="2">
        <v>888</v>
      </c>
      <c r="E137" s="2">
        <v>444</v>
      </c>
      <c r="F137" s="3">
        <v>21938</v>
      </c>
      <c r="G137" s="8">
        <f>((Posts!F137+Posts!G137+Posts!H137)/Posts!I137)*100</f>
        <v>20.357370772176132</v>
      </c>
    </row>
    <row r="138" spans="1:7" x14ac:dyDescent="0.25">
      <c r="A138" s="2" t="s">
        <v>197</v>
      </c>
      <c r="B138" s="2" t="s">
        <v>38</v>
      </c>
      <c r="C138" s="3">
        <v>3008</v>
      </c>
      <c r="D138" s="2">
        <v>94</v>
      </c>
      <c r="E138" s="2">
        <v>37</v>
      </c>
      <c r="F138" s="3">
        <v>15040</v>
      </c>
      <c r="G138" s="8">
        <f>((Posts!F138+Posts!G138+Posts!H138)/Posts!I138)*100</f>
        <v>20.871010638297872</v>
      </c>
    </row>
    <row r="139" spans="1:7" x14ac:dyDescent="0.25">
      <c r="A139" s="2" t="s">
        <v>198</v>
      </c>
      <c r="B139" s="2" t="s">
        <v>14</v>
      </c>
      <c r="C139" s="3">
        <v>305</v>
      </c>
      <c r="D139" s="2">
        <v>187</v>
      </c>
      <c r="E139" s="2">
        <v>243</v>
      </c>
      <c r="F139" s="3">
        <v>4575</v>
      </c>
      <c r="G139" s="8">
        <f>((Posts!F139+Posts!G139+Posts!H139)/Posts!I139)*100</f>
        <v>16.065573770491802</v>
      </c>
    </row>
    <row r="140" spans="1:7" x14ac:dyDescent="0.25">
      <c r="A140" s="2" t="s">
        <v>199</v>
      </c>
      <c r="B140" s="2" t="s">
        <v>25</v>
      </c>
      <c r="C140" s="3">
        <v>2746</v>
      </c>
      <c r="D140" s="2">
        <v>156</v>
      </c>
      <c r="E140" s="2">
        <v>203</v>
      </c>
      <c r="F140" s="3">
        <v>32952</v>
      </c>
      <c r="G140" s="8">
        <f>((Posts!F140+Posts!G140+Posts!H140)/Posts!I140)*100</f>
        <v>9.4227967953386749</v>
      </c>
    </row>
    <row r="141" spans="1:7" x14ac:dyDescent="0.25">
      <c r="A141" s="2" t="s">
        <v>200</v>
      </c>
      <c r="B141" s="2" t="s">
        <v>38</v>
      </c>
      <c r="C141" s="3">
        <v>2291</v>
      </c>
      <c r="D141" s="2">
        <v>78</v>
      </c>
      <c r="E141" s="2">
        <v>485</v>
      </c>
      <c r="F141" s="3">
        <v>18328</v>
      </c>
      <c r="G141" s="8">
        <f>((Posts!F141+Posts!G141+Posts!H141)/Posts!I141)*100</f>
        <v>15.571802706241817</v>
      </c>
    </row>
    <row r="142" spans="1:7" x14ac:dyDescent="0.25">
      <c r="A142" s="2" t="s">
        <v>202</v>
      </c>
      <c r="B142" s="2" t="s">
        <v>14</v>
      </c>
      <c r="C142" s="3">
        <v>3170</v>
      </c>
      <c r="D142" s="2">
        <v>857</v>
      </c>
      <c r="E142" s="2">
        <v>379</v>
      </c>
      <c r="F142" s="3">
        <v>19020</v>
      </c>
      <c r="G142" s="8">
        <f>((Posts!F142+Posts!G142+Posts!H142)/Posts!I142)*100</f>
        <v>23.16508937960042</v>
      </c>
    </row>
    <row r="143" spans="1:7" x14ac:dyDescent="0.25">
      <c r="A143" s="2" t="s">
        <v>203</v>
      </c>
      <c r="B143" s="2" t="s">
        <v>25</v>
      </c>
      <c r="C143" s="3">
        <v>2070</v>
      </c>
      <c r="D143" s="2">
        <v>275</v>
      </c>
      <c r="E143" s="2">
        <v>386</v>
      </c>
      <c r="F143" s="3">
        <v>39330</v>
      </c>
      <c r="G143" s="8">
        <f>((Posts!F143+Posts!G143+Posts!H143)/Posts!I143)*100</f>
        <v>6.9438087973557074</v>
      </c>
    </row>
    <row r="144" spans="1:7" x14ac:dyDescent="0.25">
      <c r="A144" s="2" t="s">
        <v>204</v>
      </c>
      <c r="B144" s="2" t="s">
        <v>25</v>
      </c>
      <c r="C144" s="3">
        <v>80</v>
      </c>
      <c r="D144" s="2">
        <v>362</v>
      </c>
      <c r="E144" s="2">
        <v>80</v>
      </c>
      <c r="F144" s="3">
        <v>1040</v>
      </c>
      <c r="G144" s="8">
        <f>((Posts!F144+Posts!G144+Posts!H144)/Posts!I144)*100</f>
        <v>50.192307692307693</v>
      </c>
    </row>
    <row r="145" spans="1:7" x14ac:dyDescent="0.25">
      <c r="A145" s="2" t="s">
        <v>205</v>
      </c>
      <c r="B145" s="2" t="s">
        <v>25</v>
      </c>
      <c r="C145" s="3">
        <v>4929</v>
      </c>
      <c r="D145" s="2">
        <v>749</v>
      </c>
      <c r="E145" s="2">
        <v>452</v>
      </c>
      <c r="F145" s="3">
        <v>93651</v>
      </c>
      <c r="G145" s="8">
        <f>((Posts!F145+Posts!G145+Posts!H145)/Posts!I145)*100</f>
        <v>6.5455787978772246</v>
      </c>
    </row>
    <row r="146" spans="1:7" x14ac:dyDescent="0.25">
      <c r="A146" s="2" t="s">
        <v>206</v>
      </c>
      <c r="B146" s="2" t="s">
        <v>30</v>
      </c>
      <c r="C146" s="3">
        <v>1878</v>
      </c>
      <c r="D146" s="2">
        <v>62</v>
      </c>
      <c r="E146" s="2">
        <v>179</v>
      </c>
      <c r="F146" s="3">
        <v>37560</v>
      </c>
      <c r="G146" s="8">
        <f>((Posts!F146+Posts!G146+Posts!H146)/Posts!I146)*100</f>
        <v>5.6416400425985094</v>
      </c>
    </row>
    <row r="147" spans="1:7" x14ac:dyDescent="0.25">
      <c r="A147" s="2" t="s">
        <v>207</v>
      </c>
      <c r="B147" s="2" t="s">
        <v>25</v>
      </c>
      <c r="C147" s="3">
        <v>3065</v>
      </c>
      <c r="D147" s="2">
        <v>772</v>
      </c>
      <c r="E147" s="2">
        <v>142</v>
      </c>
      <c r="F147" s="3">
        <v>18390</v>
      </c>
      <c r="G147" s="8">
        <f>((Posts!F147+Posts!G147+Posts!H147)/Posts!I147)*100</f>
        <v>21.636759108210985</v>
      </c>
    </row>
    <row r="148" spans="1:7" x14ac:dyDescent="0.25">
      <c r="A148" s="2" t="s">
        <v>209</v>
      </c>
      <c r="B148" s="2" t="s">
        <v>30</v>
      </c>
      <c r="C148" s="3">
        <v>3256</v>
      </c>
      <c r="D148" s="2">
        <v>459</v>
      </c>
      <c r="E148" s="2">
        <v>266</v>
      </c>
      <c r="F148" s="3">
        <v>26048</v>
      </c>
      <c r="G148" s="8">
        <f>((Posts!F148+Posts!G148+Posts!H148)/Posts!I148)*100</f>
        <v>15.283323095823095</v>
      </c>
    </row>
    <row r="149" spans="1:7" x14ac:dyDescent="0.25">
      <c r="A149" s="2" t="s">
        <v>210</v>
      </c>
      <c r="B149" s="2" t="s">
        <v>30</v>
      </c>
      <c r="C149" s="3">
        <v>4133</v>
      </c>
      <c r="D149" s="2">
        <v>466</v>
      </c>
      <c r="E149" s="2">
        <v>327</v>
      </c>
      <c r="F149" s="3">
        <v>24798</v>
      </c>
      <c r="G149" s="8">
        <f>((Posts!F149+Posts!G149+Posts!H149)/Posts!I149)*100</f>
        <v>19.864505202032422</v>
      </c>
    </row>
    <row r="150" spans="1:7" x14ac:dyDescent="0.25">
      <c r="A150" s="2" t="s">
        <v>211</v>
      </c>
      <c r="B150" s="2" t="s">
        <v>14</v>
      </c>
      <c r="C150" s="3">
        <v>1702</v>
      </c>
      <c r="D150" s="2">
        <v>750</v>
      </c>
      <c r="E150" s="2">
        <v>179</v>
      </c>
      <c r="F150" s="3">
        <v>34040</v>
      </c>
      <c r="G150" s="8">
        <f>((Posts!F150+Posts!G150+Posts!H150)/Posts!I150)*100</f>
        <v>7.7291421856639246</v>
      </c>
    </row>
    <row r="151" spans="1:7" x14ac:dyDescent="0.25">
      <c r="A151" s="2" t="s">
        <v>212</v>
      </c>
      <c r="B151" s="2" t="s">
        <v>25</v>
      </c>
      <c r="C151" s="3">
        <v>4295</v>
      </c>
      <c r="D151" s="2">
        <v>853</v>
      </c>
      <c r="E151" s="2">
        <v>325</v>
      </c>
      <c r="F151" s="3">
        <v>85900</v>
      </c>
      <c r="G151" s="8">
        <f>((Posts!F151+Posts!G151+Posts!H151)/Posts!I151)*100</f>
        <v>6.3713620488940625</v>
      </c>
    </row>
    <row r="152" spans="1:7" x14ac:dyDescent="0.25">
      <c r="A152" s="2" t="s">
        <v>213</v>
      </c>
      <c r="B152" s="2" t="s">
        <v>30</v>
      </c>
      <c r="C152" s="3">
        <v>3559</v>
      </c>
      <c r="D152" s="2">
        <v>59</v>
      </c>
      <c r="E152" s="2">
        <v>289</v>
      </c>
      <c r="F152" s="3">
        <v>35590</v>
      </c>
      <c r="G152" s="8">
        <f>((Posts!F152+Posts!G152+Posts!H152)/Posts!I152)*100</f>
        <v>10.977802753582468</v>
      </c>
    </row>
    <row r="153" spans="1:7" x14ac:dyDescent="0.25">
      <c r="A153" s="2" t="s">
        <v>214</v>
      </c>
      <c r="B153" s="2" t="s">
        <v>38</v>
      </c>
      <c r="C153" s="3">
        <v>4804</v>
      </c>
      <c r="D153" s="2">
        <v>550</v>
      </c>
      <c r="E153" s="2">
        <v>270</v>
      </c>
      <c r="F153" s="3">
        <v>28824</v>
      </c>
      <c r="G153" s="8">
        <f>((Posts!F153+Posts!G153+Posts!H153)/Posts!I153)*100</f>
        <v>19.511518179295031</v>
      </c>
    </row>
    <row r="154" spans="1:7" x14ac:dyDescent="0.25">
      <c r="A154" s="2" t="s">
        <v>215</v>
      </c>
      <c r="B154" s="2" t="s">
        <v>14</v>
      </c>
      <c r="C154" s="3">
        <v>754</v>
      </c>
      <c r="D154" s="2">
        <v>197</v>
      </c>
      <c r="E154" s="2">
        <v>257</v>
      </c>
      <c r="F154" s="3">
        <v>6786</v>
      </c>
      <c r="G154" s="8">
        <f>((Posts!F154+Posts!G154+Posts!H154)/Posts!I154)*100</f>
        <v>17.801355732390213</v>
      </c>
    </row>
    <row r="155" spans="1:7" x14ac:dyDescent="0.25">
      <c r="A155" s="2" t="s">
        <v>216</v>
      </c>
      <c r="B155" s="2" t="s">
        <v>30</v>
      </c>
      <c r="C155" s="3">
        <v>985</v>
      </c>
      <c r="D155" s="2">
        <v>932</v>
      </c>
      <c r="E155" s="2">
        <v>287</v>
      </c>
      <c r="F155" s="3">
        <v>6895</v>
      </c>
      <c r="G155" s="8">
        <f>((Posts!F155+Posts!G155+Posts!H155)/Posts!I155)*100</f>
        <v>31.965192168237856</v>
      </c>
    </row>
    <row r="156" spans="1:7" x14ac:dyDescent="0.25">
      <c r="A156" s="2" t="s">
        <v>217</v>
      </c>
      <c r="B156" s="2" t="s">
        <v>25</v>
      </c>
      <c r="C156" s="3">
        <v>2283</v>
      </c>
      <c r="D156" s="2">
        <v>210</v>
      </c>
      <c r="E156" s="2">
        <v>130</v>
      </c>
      <c r="F156" s="3">
        <v>22830</v>
      </c>
      <c r="G156" s="8">
        <f>((Posts!F156+Posts!G156+Posts!H156)/Posts!I156)*100</f>
        <v>11.489268506351292</v>
      </c>
    </row>
    <row r="157" spans="1:7" x14ac:dyDescent="0.25">
      <c r="A157" s="2" t="s">
        <v>218</v>
      </c>
      <c r="B157" s="2" t="s">
        <v>38</v>
      </c>
      <c r="C157" s="3">
        <v>3352</v>
      </c>
      <c r="D157" s="2">
        <v>941</v>
      </c>
      <c r="E157" s="2">
        <v>482</v>
      </c>
      <c r="F157" s="3">
        <v>43576</v>
      </c>
      <c r="G157" s="8">
        <f>((Posts!F157+Posts!G157+Posts!H157)/Posts!I157)*100</f>
        <v>10.957866715623279</v>
      </c>
    </row>
    <row r="158" spans="1:7" x14ac:dyDescent="0.25">
      <c r="A158" s="2" t="s">
        <v>219</v>
      </c>
      <c r="B158" s="2" t="s">
        <v>25</v>
      </c>
      <c r="C158" s="3">
        <v>4775</v>
      </c>
      <c r="D158" s="2">
        <v>173</v>
      </c>
      <c r="E158" s="2">
        <v>206</v>
      </c>
      <c r="F158" s="3">
        <v>47750</v>
      </c>
      <c r="G158" s="8">
        <f>((Posts!F158+Posts!G158+Posts!H158)/Posts!I158)*100</f>
        <v>10.793717277486911</v>
      </c>
    </row>
    <row r="159" spans="1:7" x14ac:dyDescent="0.25">
      <c r="A159" s="2" t="s">
        <v>220</v>
      </c>
      <c r="B159" s="2" t="s">
        <v>30</v>
      </c>
      <c r="C159" s="3">
        <v>1762</v>
      </c>
      <c r="D159" s="2">
        <v>405</v>
      </c>
      <c r="E159" s="2">
        <v>423</v>
      </c>
      <c r="F159" s="3">
        <v>22906</v>
      </c>
      <c r="G159" s="8">
        <f>((Posts!F159+Posts!G159+Posts!H159)/Posts!I159)*100</f>
        <v>11.307081114118571</v>
      </c>
    </row>
    <row r="160" spans="1:7" x14ac:dyDescent="0.25">
      <c r="A160" s="2" t="s">
        <v>221</v>
      </c>
      <c r="B160" s="2" t="s">
        <v>38</v>
      </c>
      <c r="C160" s="3">
        <v>2120</v>
      </c>
      <c r="D160" s="2">
        <v>158</v>
      </c>
      <c r="E160" s="2">
        <v>488</v>
      </c>
      <c r="F160" s="3">
        <v>12720</v>
      </c>
      <c r="G160" s="8">
        <f>((Posts!F160+Posts!G160+Posts!H160)/Posts!I160)*100</f>
        <v>21.745283018867926</v>
      </c>
    </row>
    <row r="161" spans="1:7" x14ac:dyDescent="0.25">
      <c r="A161" s="2" t="s">
        <v>222</v>
      </c>
      <c r="B161" s="2" t="s">
        <v>14</v>
      </c>
      <c r="C161" s="3">
        <v>1082</v>
      </c>
      <c r="D161" s="2">
        <v>209</v>
      </c>
      <c r="E161" s="2">
        <v>484</v>
      </c>
      <c r="F161" s="3">
        <v>19476</v>
      </c>
      <c r="G161" s="8">
        <f>((Posts!F161+Posts!G161+Posts!H161)/Posts!I161)*100</f>
        <v>9.1137810638734855</v>
      </c>
    </row>
    <row r="162" spans="1:7" x14ac:dyDescent="0.25">
      <c r="A162" s="2" t="s">
        <v>223</v>
      </c>
      <c r="B162" s="2" t="s">
        <v>14</v>
      </c>
      <c r="C162" s="3">
        <v>4671</v>
      </c>
      <c r="D162" s="2">
        <v>876</v>
      </c>
      <c r="E162" s="2">
        <v>366</v>
      </c>
      <c r="F162" s="3">
        <v>51381</v>
      </c>
      <c r="G162" s="8">
        <f>((Posts!F162+Posts!G162+Posts!H162)/Posts!I162)*100</f>
        <v>11.508145034156595</v>
      </c>
    </row>
    <row r="163" spans="1:7" x14ac:dyDescent="0.25">
      <c r="A163" s="2" t="s">
        <v>224</v>
      </c>
      <c r="B163" s="2" t="s">
        <v>38</v>
      </c>
      <c r="C163" s="3">
        <v>3430</v>
      </c>
      <c r="D163" s="2">
        <v>566</v>
      </c>
      <c r="E163" s="2">
        <v>164</v>
      </c>
      <c r="F163" s="3">
        <v>48020</v>
      </c>
      <c r="G163" s="8">
        <f>((Posts!F163+Posts!G163+Posts!H163)/Posts!I163)*100</f>
        <v>8.6630570595585166</v>
      </c>
    </row>
    <row r="164" spans="1:7" x14ac:dyDescent="0.25">
      <c r="A164" s="2" t="s">
        <v>225</v>
      </c>
      <c r="B164" s="2" t="s">
        <v>30</v>
      </c>
      <c r="C164" s="3">
        <v>4501</v>
      </c>
      <c r="D164" s="2">
        <v>375</v>
      </c>
      <c r="E164" s="2">
        <v>323</v>
      </c>
      <c r="F164" s="3">
        <v>22505</v>
      </c>
      <c r="G164" s="8">
        <f>((Posts!F164+Posts!G164+Posts!H164)/Posts!I164)*100</f>
        <v>23.101532992668297</v>
      </c>
    </row>
    <row r="165" spans="1:7" x14ac:dyDescent="0.25">
      <c r="A165" s="2" t="s">
        <v>226</v>
      </c>
      <c r="B165" s="2" t="s">
        <v>25</v>
      </c>
      <c r="C165" s="3">
        <v>4934</v>
      </c>
      <c r="D165" s="2">
        <v>971</v>
      </c>
      <c r="E165" s="2">
        <v>156</v>
      </c>
      <c r="F165" s="3">
        <v>39472</v>
      </c>
      <c r="G165" s="8">
        <f>((Posts!F165+Posts!G165+Posts!H165)/Posts!I165)*100</f>
        <v>15.355188488042156</v>
      </c>
    </row>
    <row r="166" spans="1:7" x14ac:dyDescent="0.25">
      <c r="A166" s="2" t="s">
        <v>227</v>
      </c>
      <c r="B166" s="2" t="s">
        <v>14</v>
      </c>
      <c r="C166" s="3">
        <v>3239</v>
      </c>
      <c r="D166" s="2">
        <v>43</v>
      </c>
      <c r="E166" s="2">
        <v>211</v>
      </c>
      <c r="F166" s="3">
        <v>22673</v>
      </c>
      <c r="G166" s="8">
        <f>((Posts!F166+Posts!G166+Posts!H166)/Posts!I166)*100</f>
        <v>15.405989502933004</v>
      </c>
    </row>
    <row r="167" spans="1:7" x14ac:dyDescent="0.25">
      <c r="A167" s="2" t="s">
        <v>228</v>
      </c>
      <c r="B167" s="2" t="s">
        <v>14</v>
      </c>
      <c r="C167" s="3">
        <v>1076</v>
      </c>
      <c r="D167" s="2">
        <v>313</v>
      </c>
      <c r="E167" s="2">
        <v>306</v>
      </c>
      <c r="F167" s="3">
        <v>11836</v>
      </c>
      <c r="G167" s="8">
        <f>((Posts!F167+Posts!G167+Posts!H167)/Posts!I167)*100</f>
        <v>14.320716458262927</v>
      </c>
    </row>
    <row r="168" spans="1:7" x14ac:dyDescent="0.25">
      <c r="A168" s="2" t="s">
        <v>229</v>
      </c>
      <c r="B168" s="2" t="s">
        <v>30</v>
      </c>
      <c r="C168" s="3">
        <v>4771</v>
      </c>
      <c r="D168" s="2">
        <v>818</v>
      </c>
      <c r="E168" s="2">
        <v>56</v>
      </c>
      <c r="F168" s="3">
        <v>57252</v>
      </c>
      <c r="G168" s="8">
        <f>((Posts!F168+Posts!G168+Posts!H168)/Posts!I168)*100</f>
        <v>9.8599175574652413</v>
      </c>
    </row>
    <row r="169" spans="1:7" x14ac:dyDescent="0.25">
      <c r="A169" s="2" t="s">
        <v>230</v>
      </c>
      <c r="B169" s="2" t="s">
        <v>38</v>
      </c>
      <c r="C169" s="3">
        <v>2418</v>
      </c>
      <c r="D169" s="2">
        <v>754</v>
      </c>
      <c r="E169" s="2">
        <v>54</v>
      </c>
      <c r="F169" s="3">
        <v>43524</v>
      </c>
      <c r="G169" s="8">
        <f>((Posts!F169+Posts!G169+Posts!H169)/Posts!I169)*100</f>
        <v>7.412002573292896</v>
      </c>
    </row>
    <row r="170" spans="1:7" x14ac:dyDescent="0.25">
      <c r="A170" s="2" t="s">
        <v>231</v>
      </c>
      <c r="B170" s="2" t="s">
        <v>25</v>
      </c>
      <c r="C170" s="3">
        <v>3809</v>
      </c>
      <c r="D170" s="2">
        <v>273</v>
      </c>
      <c r="E170" s="2">
        <v>200</v>
      </c>
      <c r="F170" s="3">
        <v>34281</v>
      </c>
      <c r="G170" s="8">
        <f>((Posts!F170+Posts!G170+Posts!H170)/Posts!I170)*100</f>
        <v>12.490884163239112</v>
      </c>
    </row>
    <row r="171" spans="1:7" x14ac:dyDescent="0.25">
      <c r="A171" s="2" t="s">
        <v>232</v>
      </c>
      <c r="B171" s="2" t="s">
        <v>14</v>
      </c>
      <c r="C171" s="3">
        <v>3577</v>
      </c>
      <c r="D171" s="2">
        <v>596</v>
      </c>
      <c r="E171" s="2">
        <v>493</v>
      </c>
      <c r="F171" s="3">
        <v>67963</v>
      </c>
      <c r="G171" s="8">
        <f>((Posts!F171+Posts!G171+Posts!H171)/Posts!I171)*100</f>
        <v>6.8655003457763781</v>
      </c>
    </row>
    <row r="172" spans="1:7" x14ac:dyDescent="0.25">
      <c r="A172" s="2" t="s">
        <v>233</v>
      </c>
      <c r="B172" s="2" t="s">
        <v>25</v>
      </c>
      <c r="C172" s="3">
        <v>1018</v>
      </c>
      <c r="D172" s="2">
        <v>447</v>
      </c>
      <c r="E172" s="2">
        <v>332</v>
      </c>
      <c r="F172" s="3">
        <v>18324</v>
      </c>
      <c r="G172" s="8">
        <f>((Posts!F172+Posts!G172+Posts!H172)/Posts!I172)*100</f>
        <v>9.8068107400130966</v>
      </c>
    </row>
    <row r="173" spans="1:7" x14ac:dyDescent="0.25">
      <c r="A173" s="2" t="s">
        <v>234</v>
      </c>
      <c r="B173" s="2" t="s">
        <v>38</v>
      </c>
      <c r="C173" s="3">
        <v>3073</v>
      </c>
      <c r="D173" s="2">
        <v>553</v>
      </c>
      <c r="E173" s="2">
        <v>174</v>
      </c>
      <c r="F173" s="3">
        <v>52241</v>
      </c>
      <c r="G173" s="8">
        <f>((Posts!F173+Posts!G173+Posts!H173)/Posts!I173)*100</f>
        <v>7.2739802071170159</v>
      </c>
    </row>
    <row r="174" spans="1:7" x14ac:dyDescent="0.25">
      <c r="A174" s="2" t="s">
        <v>235</v>
      </c>
      <c r="B174" s="2" t="s">
        <v>14</v>
      </c>
      <c r="C174" s="3">
        <v>1330</v>
      </c>
      <c r="D174" s="2">
        <v>925</v>
      </c>
      <c r="E174" s="2">
        <v>35</v>
      </c>
      <c r="F174" s="3">
        <v>15960</v>
      </c>
      <c r="G174" s="8">
        <f>((Posts!F174+Posts!G174+Posts!H174)/Posts!I174)*100</f>
        <v>14.348370927318296</v>
      </c>
    </row>
    <row r="175" spans="1:7" x14ac:dyDescent="0.25">
      <c r="A175" s="2" t="s">
        <v>236</v>
      </c>
      <c r="B175" s="2" t="s">
        <v>38</v>
      </c>
      <c r="C175" s="3">
        <v>3828</v>
      </c>
      <c r="D175" s="2">
        <v>148</v>
      </c>
      <c r="E175" s="2">
        <v>253</v>
      </c>
      <c r="F175" s="3">
        <v>30624</v>
      </c>
      <c r="G175" s="8">
        <f>((Posts!F175+Posts!G175+Posts!H175)/Posts!I175)*100</f>
        <v>13.809430512016718</v>
      </c>
    </row>
    <row r="176" spans="1:7" x14ac:dyDescent="0.25">
      <c r="A176" s="2" t="s">
        <v>237</v>
      </c>
      <c r="B176" s="2" t="s">
        <v>30</v>
      </c>
      <c r="C176" s="3">
        <v>142</v>
      </c>
      <c r="D176" s="2">
        <v>784</v>
      </c>
      <c r="E176" s="2">
        <v>183</v>
      </c>
      <c r="F176" s="3">
        <v>1704</v>
      </c>
      <c r="G176" s="8">
        <f>((Posts!F176+Posts!G176+Posts!H176)/Posts!I176)*100</f>
        <v>65.082159624413151</v>
      </c>
    </row>
    <row r="177" spans="1:7" x14ac:dyDescent="0.25">
      <c r="A177" s="2" t="s">
        <v>238</v>
      </c>
      <c r="B177" s="2" t="s">
        <v>38</v>
      </c>
      <c r="C177" s="3">
        <v>3798</v>
      </c>
      <c r="D177" s="2">
        <v>31</v>
      </c>
      <c r="E177" s="2">
        <v>279</v>
      </c>
      <c r="F177" s="3">
        <v>75960</v>
      </c>
      <c r="G177" s="8">
        <f>((Posts!F177+Posts!G177+Posts!H177)/Posts!I177)*100</f>
        <v>5.40810953133228</v>
      </c>
    </row>
    <row r="178" spans="1:7" x14ac:dyDescent="0.25">
      <c r="A178" s="2" t="s">
        <v>239</v>
      </c>
      <c r="B178" s="2" t="s">
        <v>30</v>
      </c>
      <c r="C178" s="3">
        <v>3099</v>
      </c>
      <c r="D178" s="2">
        <v>694</v>
      </c>
      <c r="E178" s="2">
        <v>171</v>
      </c>
      <c r="F178" s="3">
        <v>43386</v>
      </c>
      <c r="G178" s="8">
        <f>((Posts!F178+Posts!G178+Posts!H178)/Posts!I178)*100</f>
        <v>9.1365878393951974</v>
      </c>
    </row>
    <row r="179" spans="1:7" x14ac:dyDescent="0.25">
      <c r="A179" s="2" t="s">
        <v>240</v>
      </c>
      <c r="B179" s="2" t="s">
        <v>30</v>
      </c>
      <c r="C179" s="3">
        <v>129</v>
      </c>
      <c r="D179" s="2">
        <v>643</v>
      </c>
      <c r="E179" s="2">
        <v>136</v>
      </c>
      <c r="F179" s="3">
        <v>1290</v>
      </c>
      <c r="G179" s="8">
        <f>((Posts!F179+Posts!G179+Posts!H179)/Posts!I179)*100</f>
        <v>70.387596899224803</v>
      </c>
    </row>
    <row r="180" spans="1:7" x14ac:dyDescent="0.25">
      <c r="A180" s="2" t="s">
        <v>241</v>
      </c>
      <c r="B180" s="2" t="s">
        <v>38</v>
      </c>
      <c r="C180" s="3">
        <v>3796</v>
      </c>
      <c r="D180" s="2">
        <v>667</v>
      </c>
      <c r="E180" s="2">
        <v>395</v>
      </c>
      <c r="F180" s="3">
        <v>64532</v>
      </c>
      <c r="G180" s="8">
        <f>((Posts!F180+Posts!G180+Posts!H180)/Posts!I180)*100</f>
        <v>7.5280481001673589</v>
      </c>
    </row>
    <row r="181" spans="1:7" x14ac:dyDescent="0.25">
      <c r="A181" s="2" t="s">
        <v>242</v>
      </c>
      <c r="B181" s="2" t="s">
        <v>25</v>
      </c>
      <c r="C181" s="3">
        <v>3711</v>
      </c>
      <c r="D181" s="2">
        <v>352</v>
      </c>
      <c r="E181" s="2">
        <v>290</v>
      </c>
      <c r="F181" s="3">
        <v>48243</v>
      </c>
      <c r="G181" s="8">
        <f>((Posts!F181+Posts!G181+Posts!H181)/Posts!I181)*100</f>
        <v>9.0230707045581742</v>
      </c>
    </row>
    <row r="182" spans="1:7" x14ac:dyDescent="0.25">
      <c r="A182" s="2" t="s">
        <v>243</v>
      </c>
      <c r="B182" s="2" t="s">
        <v>25</v>
      </c>
      <c r="C182" s="3">
        <v>606</v>
      </c>
      <c r="D182" s="2">
        <v>789</v>
      </c>
      <c r="E182" s="2">
        <v>470</v>
      </c>
      <c r="F182" s="3">
        <v>7878</v>
      </c>
      <c r="G182" s="8">
        <f>((Posts!F182+Posts!G182+Posts!H182)/Posts!I182)*100</f>
        <v>23.673521198273672</v>
      </c>
    </row>
    <row r="183" spans="1:7" x14ac:dyDescent="0.25">
      <c r="A183" s="2" t="s">
        <v>244</v>
      </c>
      <c r="B183" s="2" t="s">
        <v>38</v>
      </c>
      <c r="C183" s="3">
        <v>4689</v>
      </c>
      <c r="D183" s="2">
        <v>134</v>
      </c>
      <c r="E183" s="2">
        <v>403</v>
      </c>
      <c r="F183" s="3">
        <v>51579</v>
      </c>
      <c r="G183" s="8">
        <f>((Posts!F183+Posts!G183+Posts!H183)/Posts!I183)*100</f>
        <v>10.132030477519921</v>
      </c>
    </row>
    <row r="184" spans="1:7" x14ac:dyDescent="0.25">
      <c r="A184" s="2" t="s">
        <v>245</v>
      </c>
      <c r="B184" s="2" t="s">
        <v>30</v>
      </c>
      <c r="C184" s="3">
        <v>360</v>
      </c>
      <c r="D184" s="2">
        <v>590</v>
      </c>
      <c r="E184" s="2">
        <v>393</v>
      </c>
      <c r="F184" s="3">
        <v>4680</v>
      </c>
      <c r="G184" s="8">
        <f>((Posts!F184+Posts!G184+Posts!H184)/Posts!I184)*100</f>
        <v>28.696581196581196</v>
      </c>
    </row>
    <row r="185" spans="1:7" x14ac:dyDescent="0.25">
      <c r="A185" s="2" t="s">
        <v>246</v>
      </c>
      <c r="B185" s="2" t="s">
        <v>14</v>
      </c>
      <c r="C185" s="3">
        <v>3215</v>
      </c>
      <c r="D185" s="2">
        <v>960</v>
      </c>
      <c r="E185" s="2">
        <v>202</v>
      </c>
      <c r="F185" s="3">
        <v>32150</v>
      </c>
      <c r="G185" s="8">
        <f>((Posts!F185+Posts!G185+Posts!H185)/Posts!I185)*100</f>
        <v>13.614307931570762</v>
      </c>
    </row>
    <row r="186" spans="1:7" x14ac:dyDescent="0.25">
      <c r="A186" s="2" t="s">
        <v>247</v>
      </c>
      <c r="B186" s="2" t="s">
        <v>30</v>
      </c>
      <c r="C186" s="3">
        <v>4523</v>
      </c>
      <c r="D186" s="2">
        <v>61</v>
      </c>
      <c r="E186" s="2">
        <v>157</v>
      </c>
      <c r="F186" s="3">
        <v>49753</v>
      </c>
      <c r="G186" s="8">
        <f>((Posts!F186+Posts!G186+Posts!H186)/Posts!I186)*100</f>
        <v>9.5290736237010822</v>
      </c>
    </row>
    <row r="187" spans="1:7" x14ac:dyDescent="0.25">
      <c r="A187" s="2" t="s">
        <v>248</v>
      </c>
      <c r="B187" s="2" t="s">
        <v>38</v>
      </c>
      <c r="C187" s="3">
        <v>4292</v>
      </c>
      <c r="D187" s="2">
        <v>51</v>
      </c>
      <c r="E187" s="2">
        <v>392</v>
      </c>
      <c r="F187" s="3">
        <v>55796</v>
      </c>
      <c r="G187" s="8">
        <f>((Posts!F187+Posts!G187+Posts!H187)/Posts!I187)*100</f>
        <v>8.4862714173059004</v>
      </c>
    </row>
    <row r="188" spans="1:7" x14ac:dyDescent="0.25">
      <c r="A188" s="2" t="s">
        <v>249</v>
      </c>
      <c r="B188" s="2" t="s">
        <v>14</v>
      </c>
      <c r="C188" s="3">
        <v>1644</v>
      </c>
      <c r="D188" s="2">
        <v>546</v>
      </c>
      <c r="E188" s="2">
        <v>150</v>
      </c>
      <c r="F188" s="3">
        <v>27948</v>
      </c>
      <c r="G188" s="8">
        <f>((Posts!F188+Posts!G188+Posts!H188)/Posts!I188)*100</f>
        <v>8.3726921425504504</v>
      </c>
    </row>
    <row r="189" spans="1:7" x14ac:dyDescent="0.25">
      <c r="A189" s="2" t="s">
        <v>250</v>
      </c>
      <c r="B189" s="2" t="s">
        <v>25</v>
      </c>
      <c r="C189" s="3">
        <v>2728</v>
      </c>
      <c r="D189" s="2">
        <v>533</v>
      </c>
      <c r="E189" s="2">
        <v>215</v>
      </c>
      <c r="F189" s="3">
        <v>40920</v>
      </c>
      <c r="G189" s="8">
        <f>((Posts!F189+Posts!G189+Posts!H189)/Posts!I189)*100</f>
        <v>8.4946236559139781</v>
      </c>
    </row>
    <row r="190" spans="1:7" x14ac:dyDescent="0.25">
      <c r="A190" s="2" t="s">
        <v>251</v>
      </c>
      <c r="B190" s="2" t="s">
        <v>38</v>
      </c>
      <c r="C190" s="3">
        <v>3360</v>
      </c>
      <c r="D190" s="2">
        <v>525</v>
      </c>
      <c r="E190" s="2">
        <v>500</v>
      </c>
      <c r="F190" s="3">
        <v>60480</v>
      </c>
      <c r="G190" s="8">
        <f>((Posts!F190+Posts!G190+Posts!H190)/Posts!I190)*100</f>
        <v>7.2503306878306875</v>
      </c>
    </row>
    <row r="191" spans="1:7" x14ac:dyDescent="0.25">
      <c r="A191" s="2" t="s">
        <v>252</v>
      </c>
      <c r="B191" s="2" t="s">
        <v>25</v>
      </c>
      <c r="C191" s="3">
        <v>1963</v>
      </c>
      <c r="D191" s="2">
        <v>213</v>
      </c>
      <c r="E191" s="2">
        <v>19</v>
      </c>
      <c r="F191" s="3">
        <v>39260</v>
      </c>
      <c r="G191" s="8">
        <f>((Posts!F191+Posts!G191+Posts!H191)/Posts!I191)*100</f>
        <v>5.590932246561386</v>
      </c>
    </row>
    <row r="192" spans="1:7" x14ac:dyDescent="0.25">
      <c r="A192" s="2" t="s">
        <v>253</v>
      </c>
      <c r="B192" s="2" t="s">
        <v>25</v>
      </c>
      <c r="C192" s="3">
        <v>4285</v>
      </c>
      <c r="D192" s="2">
        <v>886</v>
      </c>
      <c r="E192" s="2">
        <v>376</v>
      </c>
      <c r="F192" s="3">
        <v>55705</v>
      </c>
      <c r="G192" s="8">
        <f>((Posts!F192+Posts!G192+Posts!H192)/Posts!I192)*100</f>
        <v>9.9578134817341351</v>
      </c>
    </row>
    <row r="193" spans="1:7" x14ac:dyDescent="0.25">
      <c r="A193" s="2" t="s">
        <v>254</v>
      </c>
      <c r="B193" s="2" t="s">
        <v>30</v>
      </c>
      <c r="C193" s="3">
        <v>1176</v>
      </c>
      <c r="D193" s="2">
        <v>464</v>
      </c>
      <c r="E193" s="2">
        <v>394</v>
      </c>
      <c r="F193" s="3">
        <v>14112</v>
      </c>
      <c r="G193" s="8">
        <f>((Posts!F193+Posts!G193+Posts!H193)/Posts!I193)*100</f>
        <v>14.413265306122449</v>
      </c>
    </row>
    <row r="194" spans="1:7" x14ac:dyDescent="0.25">
      <c r="A194" s="2" t="s">
        <v>255</v>
      </c>
      <c r="B194" s="2" t="s">
        <v>14</v>
      </c>
      <c r="C194" s="3">
        <v>4858</v>
      </c>
      <c r="D194" s="2">
        <v>317</v>
      </c>
      <c r="E194" s="2">
        <v>129</v>
      </c>
      <c r="F194" s="3">
        <v>53438</v>
      </c>
      <c r="G194" s="8">
        <f>((Posts!F194+Posts!G194+Posts!H194)/Posts!I194)*100</f>
        <v>9.9255211647142492</v>
      </c>
    </row>
    <row r="195" spans="1:7" x14ac:dyDescent="0.25">
      <c r="A195" s="2" t="s">
        <v>256</v>
      </c>
      <c r="B195" s="2" t="s">
        <v>25</v>
      </c>
      <c r="C195" s="3">
        <v>4350</v>
      </c>
      <c r="D195" s="2">
        <v>771</v>
      </c>
      <c r="E195" s="2">
        <v>7</v>
      </c>
      <c r="F195" s="3">
        <v>60900</v>
      </c>
      <c r="G195" s="8">
        <f>((Posts!F195+Posts!G195+Posts!H195)/Posts!I195)*100</f>
        <v>8.4203612479474561</v>
      </c>
    </row>
    <row r="196" spans="1:7" x14ac:dyDescent="0.25">
      <c r="A196" s="2" t="s">
        <v>257</v>
      </c>
      <c r="B196" s="2" t="s">
        <v>30</v>
      </c>
      <c r="C196" s="3">
        <v>914</v>
      </c>
      <c r="D196" s="2">
        <v>464</v>
      </c>
      <c r="E196" s="2">
        <v>246</v>
      </c>
      <c r="F196" s="3">
        <v>11882</v>
      </c>
      <c r="G196" s="8">
        <f>((Posts!F196+Posts!G196+Posts!H196)/Posts!I196)*100</f>
        <v>13.667732704931829</v>
      </c>
    </row>
    <row r="197" spans="1:7" x14ac:dyDescent="0.25">
      <c r="A197" s="2" t="s">
        <v>258</v>
      </c>
      <c r="B197" s="2" t="s">
        <v>30</v>
      </c>
      <c r="C197" s="3">
        <v>1813</v>
      </c>
      <c r="D197" s="2">
        <v>623</v>
      </c>
      <c r="E197" s="2">
        <v>72</v>
      </c>
      <c r="F197" s="3">
        <v>19943</v>
      </c>
      <c r="G197" s="8">
        <f>((Posts!F197+Posts!G197+Posts!H197)/Posts!I197)*100</f>
        <v>12.575841147269717</v>
      </c>
    </row>
    <row r="198" spans="1:7" x14ac:dyDescent="0.25">
      <c r="A198" s="2" t="s">
        <v>259</v>
      </c>
      <c r="B198" s="2" t="s">
        <v>14</v>
      </c>
      <c r="C198" s="3">
        <v>4782</v>
      </c>
      <c r="D198" s="2">
        <v>721</v>
      </c>
      <c r="E198" s="2">
        <v>82</v>
      </c>
      <c r="F198" s="3">
        <v>86076</v>
      </c>
      <c r="G198" s="8">
        <f>((Posts!F198+Posts!G198+Posts!H198)/Posts!I198)*100</f>
        <v>6.488452065616432</v>
      </c>
    </row>
    <row r="199" spans="1:7" x14ac:dyDescent="0.25">
      <c r="A199" s="2" t="s">
        <v>260</v>
      </c>
      <c r="B199" s="2" t="s">
        <v>14</v>
      </c>
      <c r="C199" s="3">
        <v>1048</v>
      </c>
      <c r="D199" s="2">
        <v>374</v>
      </c>
      <c r="E199" s="2">
        <v>450</v>
      </c>
      <c r="F199" s="3">
        <v>9432</v>
      </c>
      <c r="G199" s="8">
        <f>((Posts!F199+Posts!G199+Posts!H199)/Posts!I199)*100</f>
        <v>19.847328244274809</v>
      </c>
    </row>
    <row r="200" spans="1:7" x14ac:dyDescent="0.25">
      <c r="A200" s="2" t="s">
        <v>261</v>
      </c>
      <c r="B200" s="2" t="s">
        <v>25</v>
      </c>
      <c r="C200" s="3">
        <v>2509</v>
      </c>
      <c r="D200" s="2">
        <v>324</v>
      </c>
      <c r="E200" s="2">
        <v>171</v>
      </c>
      <c r="F200" s="3">
        <v>35126</v>
      </c>
      <c r="G200" s="8">
        <f>((Posts!F200+Posts!G200+Posts!H200)/Posts!I200)*100</f>
        <v>8.5520696919660644</v>
      </c>
    </row>
    <row r="201" spans="1:7" x14ac:dyDescent="0.25">
      <c r="A201" s="2" t="s">
        <v>262</v>
      </c>
      <c r="B201" s="2" t="s">
        <v>38</v>
      </c>
      <c r="C201" s="3">
        <v>3718</v>
      </c>
      <c r="D201" s="2">
        <v>385</v>
      </c>
      <c r="E201" s="2">
        <v>310</v>
      </c>
      <c r="F201" s="3">
        <v>70642</v>
      </c>
      <c r="G201" s="8">
        <f>((Posts!F201+Posts!G201+Posts!H201)/Posts!I201)*100</f>
        <v>6.246991874522239</v>
      </c>
    </row>
    <row r="202" spans="1:7" x14ac:dyDescent="0.25">
      <c r="A202" s="2" t="s">
        <v>263</v>
      </c>
      <c r="B202" s="2" t="s">
        <v>14</v>
      </c>
      <c r="C202" s="3">
        <v>802</v>
      </c>
      <c r="D202" s="2">
        <v>262</v>
      </c>
      <c r="E202" s="2">
        <v>244</v>
      </c>
      <c r="F202" s="3">
        <v>14436</v>
      </c>
      <c r="G202" s="8">
        <f>((Posts!F202+Posts!G202+Posts!H202)/Posts!I202)*100</f>
        <v>9.0606816292601824</v>
      </c>
    </row>
    <row r="203" spans="1:7" x14ac:dyDescent="0.25">
      <c r="A203" s="2" t="s">
        <v>264</v>
      </c>
      <c r="B203" s="2" t="s">
        <v>38</v>
      </c>
      <c r="C203" s="3">
        <v>1871</v>
      </c>
      <c r="D203" s="2">
        <v>252</v>
      </c>
      <c r="E203" s="2">
        <v>335</v>
      </c>
      <c r="F203" s="3">
        <v>29936</v>
      </c>
      <c r="G203" s="8">
        <f>((Posts!F203+Posts!G203+Posts!H203)/Posts!I203)*100</f>
        <v>8.21084981293426</v>
      </c>
    </row>
    <row r="204" spans="1:7" x14ac:dyDescent="0.25">
      <c r="A204" s="2" t="s">
        <v>265</v>
      </c>
      <c r="B204" s="2" t="s">
        <v>30</v>
      </c>
      <c r="C204" s="3">
        <v>3773</v>
      </c>
      <c r="D204" s="2">
        <v>299</v>
      </c>
      <c r="E204" s="2">
        <v>38</v>
      </c>
      <c r="F204" s="3">
        <v>71687</v>
      </c>
      <c r="G204" s="8">
        <f>((Posts!F204+Posts!G204+Posts!H204)/Posts!I204)*100</f>
        <v>5.7332570758993961</v>
      </c>
    </row>
    <row r="205" spans="1:7" x14ac:dyDescent="0.25">
      <c r="A205" s="2" t="s">
        <v>266</v>
      </c>
      <c r="B205" s="2" t="s">
        <v>30</v>
      </c>
      <c r="C205" s="3">
        <v>2234</v>
      </c>
      <c r="D205" s="2">
        <v>653</v>
      </c>
      <c r="E205" s="2">
        <v>432</v>
      </c>
      <c r="F205" s="3">
        <v>11170</v>
      </c>
      <c r="G205" s="8">
        <f>((Posts!F205+Posts!G205+Posts!H205)/Posts!I205)*100</f>
        <v>29.713518352730528</v>
      </c>
    </row>
    <row r="206" spans="1:7" x14ac:dyDescent="0.25">
      <c r="A206" s="2" t="s">
        <v>267</v>
      </c>
      <c r="B206" s="2" t="s">
        <v>14</v>
      </c>
      <c r="C206" s="3">
        <v>3820</v>
      </c>
      <c r="D206" s="2">
        <v>697</v>
      </c>
      <c r="E206" s="2">
        <v>268</v>
      </c>
      <c r="F206" s="3">
        <v>45840</v>
      </c>
      <c r="G206" s="8">
        <f>((Posts!F206+Posts!G206+Posts!H206)/Posts!I206)*100</f>
        <v>10.438481675392671</v>
      </c>
    </row>
    <row r="207" spans="1:7" x14ac:dyDescent="0.25">
      <c r="A207" s="2" t="s">
        <v>269</v>
      </c>
      <c r="B207" s="2" t="s">
        <v>14</v>
      </c>
      <c r="C207" s="3">
        <v>941</v>
      </c>
      <c r="D207" s="2">
        <v>121</v>
      </c>
      <c r="E207" s="2">
        <v>458</v>
      </c>
      <c r="F207" s="3">
        <v>14115</v>
      </c>
      <c r="G207" s="8">
        <f>((Posts!F207+Posts!G207+Posts!H207)/Posts!I207)*100</f>
        <v>10.768685795253278</v>
      </c>
    </row>
    <row r="208" spans="1:7" x14ac:dyDescent="0.25">
      <c r="A208" s="2" t="s">
        <v>270</v>
      </c>
      <c r="B208" s="2" t="s">
        <v>14</v>
      </c>
      <c r="C208" s="3">
        <v>4274</v>
      </c>
      <c r="D208" s="2">
        <v>340</v>
      </c>
      <c r="E208" s="2">
        <v>281</v>
      </c>
      <c r="F208" s="3">
        <v>34192</v>
      </c>
      <c r="G208" s="8">
        <f>((Posts!F208+Posts!G208+Posts!H208)/Posts!I208)*100</f>
        <v>14.316214319138981</v>
      </c>
    </row>
    <row r="209" spans="1:7" x14ac:dyDescent="0.25">
      <c r="A209" s="2" t="s">
        <v>271</v>
      </c>
      <c r="B209" s="2" t="s">
        <v>25</v>
      </c>
      <c r="C209" s="3">
        <v>2949</v>
      </c>
      <c r="D209" s="2">
        <v>476</v>
      </c>
      <c r="E209" s="2">
        <v>403</v>
      </c>
      <c r="F209" s="3">
        <v>44235</v>
      </c>
      <c r="G209" s="8">
        <f>((Posts!F209+Posts!G209+Posts!H209)/Posts!I209)*100</f>
        <v>8.6537809426924373</v>
      </c>
    </row>
    <row r="210" spans="1:7" x14ac:dyDescent="0.25">
      <c r="A210" s="2" t="s">
        <v>272</v>
      </c>
      <c r="B210" s="2" t="s">
        <v>14</v>
      </c>
      <c r="C210" s="3">
        <v>3160</v>
      </c>
      <c r="D210" s="2">
        <v>204</v>
      </c>
      <c r="E210" s="2">
        <v>297</v>
      </c>
      <c r="F210" s="3">
        <v>44240</v>
      </c>
      <c r="G210" s="8">
        <f>((Posts!F210+Posts!G210+Posts!H210)/Posts!I210)*100</f>
        <v>8.2753164556962027</v>
      </c>
    </row>
    <row r="211" spans="1:7" x14ac:dyDescent="0.25">
      <c r="A211" s="2" t="s">
        <v>273</v>
      </c>
      <c r="B211" s="2" t="s">
        <v>25</v>
      </c>
      <c r="C211" s="3">
        <v>257</v>
      </c>
      <c r="D211" s="2">
        <v>966</v>
      </c>
      <c r="E211" s="2">
        <v>398</v>
      </c>
      <c r="F211" s="3">
        <v>3341</v>
      </c>
      <c r="G211" s="8">
        <f>((Posts!F211+Posts!G211+Posts!H211)/Posts!I211)*100</f>
        <v>48.518407662376532</v>
      </c>
    </row>
    <row r="212" spans="1:7" x14ac:dyDescent="0.25">
      <c r="A212" s="2" t="s">
        <v>274</v>
      </c>
      <c r="B212" s="2" t="s">
        <v>14</v>
      </c>
      <c r="C212" s="3">
        <v>2120</v>
      </c>
      <c r="D212" s="2">
        <v>38</v>
      </c>
      <c r="E212" s="2">
        <v>212</v>
      </c>
      <c r="F212" s="3">
        <v>12720</v>
      </c>
      <c r="G212" s="8">
        <f>((Posts!F212+Posts!G212+Posts!H212)/Posts!I212)*100</f>
        <v>18.632075471698112</v>
      </c>
    </row>
    <row r="213" spans="1:7" x14ac:dyDescent="0.25">
      <c r="A213" s="2" t="s">
        <v>275</v>
      </c>
      <c r="B213" s="2" t="s">
        <v>25</v>
      </c>
      <c r="C213" s="3">
        <v>3874</v>
      </c>
      <c r="D213" s="2">
        <v>884</v>
      </c>
      <c r="E213" s="2">
        <v>19</v>
      </c>
      <c r="F213" s="3">
        <v>38740</v>
      </c>
      <c r="G213" s="8">
        <f>((Posts!F213+Posts!G213+Posts!H213)/Posts!I213)*100</f>
        <v>12.330924109447599</v>
      </c>
    </row>
    <row r="214" spans="1:7" x14ac:dyDescent="0.25">
      <c r="A214" s="2" t="s">
        <v>276</v>
      </c>
      <c r="B214" s="2" t="s">
        <v>38</v>
      </c>
      <c r="C214" s="3">
        <v>2696</v>
      </c>
      <c r="D214" s="2">
        <v>628</v>
      </c>
      <c r="E214" s="2">
        <v>443</v>
      </c>
      <c r="F214" s="3">
        <v>45832</v>
      </c>
      <c r="G214" s="8">
        <f>((Posts!F214+Posts!G214+Posts!H214)/Posts!I214)*100</f>
        <v>8.2191481934019901</v>
      </c>
    </row>
    <row r="215" spans="1:7" x14ac:dyDescent="0.25">
      <c r="A215" s="2" t="s">
        <v>277</v>
      </c>
      <c r="B215" s="2" t="s">
        <v>30</v>
      </c>
      <c r="C215" s="3">
        <v>521</v>
      </c>
      <c r="D215" s="2">
        <v>746</v>
      </c>
      <c r="E215" s="2">
        <v>315</v>
      </c>
      <c r="F215" s="3">
        <v>4168</v>
      </c>
      <c r="G215" s="8">
        <f>((Posts!F215+Posts!G215+Posts!H215)/Posts!I215)*100</f>
        <v>37.955854126679462</v>
      </c>
    </row>
    <row r="216" spans="1:7" x14ac:dyDescent="0.25">
      <c r="A216" s="2" t="s">
        <v>278</v>
      </c>
      <c r="B216" s="2" t="s">
        <v>38</v>
      </c>
      <c r="C216" s="3">
        <v>4872</v>
      </c>
      <c r="D216" s="2">
        <v>925</v>
      </c>
      <c r="E216" s="2">
        <v>176</v>
      </c>
      <c r="F216" s="3">
        <v>82824</v>
      </c>
      <c r="G216" s="8">
        <f>((Posts!F216+Posts!G216+Posts!H216)/Posts!I216)*100</f>
        <v>7.2116777745580993</v>
      </c>
    </row>
    <row r="217" spans="1:7" x14ac:dyDescent="0.25">
      <c r="A217" s="2" t="s">
        <v>279</v>
      </c>
      <c r="B217" s="2" t="s">
        <v>25</v>
      </c>
      <c r="C217" s="3">
        <v>1509</v>
      </c>
      <c r="D217" s="2">
        <v>88</v>
      </c>
      <c r="E217" s="2">
        <v>163</v>
      </c>
      <c r="F217" s="3">
        <v>30180</v>
      </c>
      <c r="G217" s="8">
        <f>((Posts!F217+Posts!G217+Posts!H217)/Posts!I217)*100</f>
        <v>5.8316766070245194</v>
      </c>
    </row>
    <row r="218" spans="1:7" x14ac:dyDescent="0.25">
      <c r="A218" s="2" t="s">
        <v>280</v>
      </c>
      <c r="B218" s="2" t="s">
        <v>38</v>
      </c>
      <c r="C218" s="3">
        <v>4606</v>
      </c>
      <c r="D218" s="2">
        <v>931</v>
      </c>
      <c r="E218" s="2">
        <v>230</v>
      </c>
      <c r="F218" s="3">
        <v>92120</v>
      </c>
      <c r="G218" s="8">
        <f>((Posts!F218+Posts!G218+Posts!H218)/Posts!I218)*100</f>
        <v>6.2603126356925749</v>
      </c>
    </row>
    <row r="219" spans="1:7" x14ac:dyDescent="0.25">
      <c r="A219" s="2" t="s">
        <v>281</v>
      </c>
      <c r="B219" s="2" t="s">
        <v>38</v>
      </c>
      <c r="C219" s="3">
        <v>1869</v>
      </c>
      <c r="D219" s="2">
        <v>453</v>
      </c>
      <c r="E219" s="2">
        <v>490</v>
      </c>
      <c r="F219" s="3">
        <v>14952</v>
      </c>
      <c r="G219" s="8">
        <f>((Posts!F219+Posts!G219+Posts!H219)/Posts!I219)*100</f>
        <v>18.806848582129483</v>
      </c>
    </row>
    <row r="220" spans="1:7" x14ac:dyDescent="0.25">
      <c r="A220" s="2" t="s">
        <v>282</v>
      </c>
      <c r="B220" s="2" t="s">
        <v>14</v>
      </c>
      <c r="C220" s="3">
        <v>1188</v>
      </c>
      <c r="D220" s="2">
        <v>470</v>
      </c>
      <c r="E220" s="2">
        <v>174</v>
      </c>
      <c r="F220" s="3">
        <v>7128</v>
      </c>
      <c r="G220" s="8">
        <f>((Posts!F220+Posts!G220+Posts!H220)/Posts!I220)*100</f>
        <v>25.701459034792368</v>
      </c>
    </row>
    <row r="221" spans="1:7" x14ac:dyDescent="0.25">
      <c r="A221" s="2" t="s">
        <v>283</v>
      </c>
      <c r="B221" s="2" t="s">
        <v>30</v>
      </c>
      <c r="C221" s="3">
        <v>84</v>
      </c>
      <c r="D221" s="2">
        <v>897</v>
      </c>
      <c r="E221" s="2">
        <v>85</v>
      </c>
      <c r="F221" s="3">
        <v>588</v>
      </c>
      <c r="G221" s="8">
        <f>((Posts!F221+Posts!G221+Posts!H221)/Posts!I221)*100</f>
        <v>181.29251700680271</v>
      </c>
    </row>
    <row r="222" spans="1:7" x14ac:dyDescent="0.25">
      <c r="A222" s="2" t="s">
        <v>284</v>
      </c>
      <c r="B222" s="2" t="s">
        <v>38</v>
      </c>
      <c r="C222" s="3">
        <v>4453</v>
      </c>
      <c r="D222" s="2">
        <v>111</v>
      </c>
      <c r="E222" s="2">
        <v>420</v>
      </c>
      <c r="F222" s="3">
        <v>31171</v>
      </c>
      <c r="G222" s="8">
        <f>((Posts!F222+Posts!G222+Posts!H222)/Posts!I222)*100</f>
        <v>15.989220750056141</v>
      </c>
    </row>
    <row r="223" spans="1:7" x14ac:dyDescent="0.25">
      <c r="A223" s="2" t="s">
        <v>285</v>
      </c>
      <c r="B223" s="2" t="s">
        <v>38</v>
      </c>
      <c r="C223" s="3">
        <v>1814</v>
      </c>
      <c r="D223" s="2">
        <v>653</v>
      </c>
      <c r="E223" s="2">
        <v>363</v>
      </c>
      <c r="F223" s="3">
        <v>25396</v>
      </c>
      <c r="G223" s="8">
        <f>((Posts!F223+Posts!G223+Posts!H223)/Posts!I223)*100</f>
        <v>11.143487163332809</v>
      </c>
    </row>
    <row r="224" spans="1:7" x14ac:dyDescent="0.25">
      <c r="A224" s="2" t="s">
        <v>287</v>
      </c>
      <c r="B224" s="2" t="s">
        <v>14</v>
      </c>
      <c r="C224" s="3">
        <v>3338</v>
      </c>
      <c r="D224" s="2">
        <v>277</v>
      </c>
      <c r="E224" s="2">
        <v>118</v>
      </c>
      <c r="F224" s="3">
        <v>60084</v>
      </c>
      <c r="G224" s="8">
        <f>((Posts!F224+Posts!G224+Posts!H224)/Posts!I224)*100</f>
        <v>6.2129685107516144</v>
      </c>
    </row>
    <row r="225" spans="1:7" x14ac:dyDescent="0.25">
      <c r="A225" s="2" t="s">
        <v>288</v>
      </c>
      <c r="B225" s="2" t="s">
        <v>38</v>
      </c>
      <c r="C225" s="3">
        <v>602</v>
      </c>
      <c r="D225" s="2">
        <v>594</v>
      </c>
      <c r="E225" s="2">
        <v>156</v>
      </c>
      <c r="F225" s="3">
        <v>4214</v>
      </c>
      <c r="G225" s="8">
        <f>((Posts!F225+Posts!G225+Posts!H225)/Posts!I225)*100</f>
        <v>32.083531086853348</v>
      </c>
    </row>
    <row r="226" spans="1:7" x14ac:dyDescent="0.25">
      <c r="A226" s="2" t="s">
        <v>289</v>
      </c>
      <c r="B226" s="2" t="s">
        <v>14</v>
      </c>
      <c r="C226" s="3">
        <v>4672</v>
      </c>
      <c r="D226" s="2">
        <v>325</v>
      </c>
      <c r="E226" s="2">
        <v>32</v>
      </c>
      <c r="F226" s="3">
        <v>88768</v>
      </c>
      <c r="G226" s="8">
        <f>((Posts!F226+Posts!G226+Posts!H226)/Posts!I226)*100</f>
        <v>5.6653298485940882</v>
      </c>
    </row>
    <row r="227" spans="1:7" x14ac:dyDescent="0.25">
      <c r="A227" s="2" t="s">
        <v>290</v>
      </c>
      <c r="B227" s="2" t="s">
        <v>30</v>
      </c>
      <c r="C227" s="3">
        <v>1741</v>
      </c>
      <c r="D227" s="2">
        <v>164</v>
      </c>
      <c r="E227" s="2">
        <v>318</v>
      </c>
      <c r="F227" s="3">
        <v>8705</v>
      </c>
      <c r="G227" s="8">
        <f>((Posts!F227+Posts!G227+Posts!H227)/Posts!I227)*100</f>
        <v>25.537047673750717</v>
      </c>
    </row>
    <row r="228" spans="1:7" x14ac:dyDescent="0.25">
      <c r="A228" s="2" t="s">
        <v>291</v>
      </c>
      <c r="B228" s="2" t="s">
        <v>30</v>
      </c>
      <c r="C228" s="3">
        <v>246</v>
      </c>
      <c r="D228" s="2">
        <v>149</v>
      </c>
      <c r="E228" s="2">
        <v>130</v>
      </c>
      <c r="F228" s="3">
        <v>4674</v>
      </c>
      <c r="G228" s="8">
        <f>((Posts!F228+Posts!G228+Posts!H228)/Posts!I228)*100</f>
        <v>11.232349165596919</v>
      </c>
    </row>
    <row r="229" spans="1:7" x14ac:dyDescent="0.25">
      <c r="A229" s="2" t="s">
        <v>292</v>
      </c>
      <c r="B229" s="2" t="s">
        <v>30</v>
      </c>
      <c r="C229" s="3">
        <v>4808</v>
      </c>
      <c r="D229" s="2">
        <v>772</v>
      </c>
      <c r="E229" s="2">
        <v>320</v>
      </c>
      <c r="F229" s="3">
        <v>72120</v>
      </c>
      <c r="G229" s="8">
        <f>((Posts!F229+Posts!G229+Posts!H229)/Posts!I229)*100</f>
        <v>8.1808097615085966</v>
      </c>
    </row>
    <row r="230" spans="1:7" x14ac:dyDescent="0.25">
      <c r="A230" s="2" t="s">
        <v>293</v>
      </c>
      <c r="B230" s="2" t="s">
        <v>30</v>
      </c>
      <c r="C230" s="3">
        <v>4799</v>
      </c>
      <c r="D230" s="2">
        <v>694</v>
      </c>
      <c r="E230" s="2">
        <v>289</v>
      </c>
      <c r="F230" s="3">
        <v>43191</v>
      </c>
      <c r="G230" s="8">
        <f>((Posts!F230+Posts!G230+Posts!H230)/Posts!I230)*100</f>
        <v>13.387048227640017</v>
      </c>
    </row>
    <row r="231" spans="1:7" x14ac:dyDescent="0.25">
      <c r="A231" s="2" t="s">
        <v>294</v>
      </c>
      <c r="B231" s="2" t="s">
        <v>38</v>
      </c>
      <c r="C231" s="3">
        <v>3663</v>
      </c>
      <c r="D231" s="2">
        <v>17</v>
      </c>
      <c r="E231" s="2">
        <v>295</v>
      </c>
      <c r="F231" s="3">
        <v>51282</v>
      </c>
      <c r="G231" s="8">
        <f>((Posts!F231+Posts!G231+Posts!H231)/Posts!I231)*100</f>
        <v>7.751257751257751</v>
      </c>
    </row>
    <row r="232" spans="1:7" x14ac:dyDescent="0.25">
      <c r="A232" s="2" t="s">
        <v>295</v>
      </c>
      <c r="B232" s="2" t="s">
        <v>30</v>
      </c>
      <c r="C232" s="3">
        <v>1430</v>
      </c>
      <c r="D232" s="2">
        <v>376</v>
      </c>
      <c r="E232" s="2">
        <v>33</v>
      </c>
      <c r="F232" s="3">
        <v>21450</v>
      </c>
      <c r="G232" s="8">
        <f>((Posts!F232+Posts!G232+Posts!H232)/Posts!I232)*100</f>
        <v>8.5734265734265733</v>
      </c>
    </row>
    <row r="233" spans="1:7" x14ac:dyDescent="0.25">
      <c r="A233" s="2" t="s">
        <v>296</v>
      </c>
      <c r="B233" s="2" t="s">
        <v>14</v>
      </c>
      <c r="C233" s="3">
        <v>249</v>
      </c>
      <c r="D233" s="2">
        <v>592</v>
      </c>
      <c r="E233" s="2">
        <v>230</v>
      </c>
      <c r="F233" s="3">
        <v>1494</v>
      </c>
      <c r="G233" s="8">
        <f>((Posts!F233+Posts!G233+Posts!H233)/Posts!I233)*100</f>
        <v>71.686746987951807</v>
      </c>
    </row>
    <row r="234" spans="1:7" x14ac:dyDescent="0.25">
      <c r="A234" s="2" t="s">
        <v>297</v>
      </c>
      <c r="B234" s="2" t="s">
        <v>38</v>
      </c>
      <c r="C234" s="3">
        <v>2382</v>
      </c>
      <c r="D234" s="2">
        <v>265</v>
      </c>
      <c r="E234" s="2">
        <v>134</v>
      </c>
      <c r="F234" s="3">
        <v>38112</v>
      </c>
      <c r="G234" s="8">
        <f>((Posts!F234+Posts!G234+Posts!H234)/Posts!I234)*100</f>
        <v>7.2969143576826196</v>
      </c>
    </row>
    <row r="235" spans="1:7" x14ac:dyDescent="0.25">
      <c r="A235" s="2" t="s">
        <v>298</v>
      </c>
      <c r="B235" s="2" t="s">
        <v>38</v>
      </c>
      <c r="C235" s="3">
        <v>1272</v>
      </c>
      <c r="D235" s="2">
        <v>465</v>
      </c>
      <c r="E235" s="2">
        <v>99</v>
      </c>
      <c r="F235" s="3">
        <v>24168</v>
      </c>
      <c r="G235" s="8">
        <f>((Posts!F235+Posts!G235+Posts!H235)/Posts!I235)*100</f>
        <v>7.5968222442899709</v>
      </c>
    </row>
    <row r="236" spans="1:7" x14ac:dyDescent="0.25">
      <c r="A236" s="2" t="s">
        <v>299</v>
      </c>
      <c r="B236" s="2" t="s">
        <v>38</v>
      </c>
      <c r="C236" s="3">
        <v>3196</v>
      </c>
      <c r="D236" s="2">
        <v>941</v>
      </c>
      <c r="E236" s="2">
        <v>376</v>
      </c>
      <c r="F236" s="3">
        <v>35156</v>
      </c>
      <c r="G236" s="8">
        <f>((Posts!F236+Posts!G236+Posts!H236)/Posts!I236)*100</f>
        <v>12.837069063602231</v>
      </c>
    </row>
    <row r="237" spans="1:7" x14ac:dyDescent="0.25">
      <c r="A237" s="2" t="s">
        <v>300</v>
      </c>
      <c r="B237" s="2" t="s">
        <v>38</v>
      </c>
      <c r="C237" s="3">
        <v>1257</v>
      </c>
      <c r="D237" s="2">
        <v>19</v>
      </c>
      <c r="E237" s="2">
        <v>351</v>
      </c>
      <c r="F237" s="3">
        <v>12570</v>
      </c>
      <c r="G237" s="8">
        <f>((Posts!F237+Posts!G237+Posts!H237)/Posts!I237)*100</f>
        <v>12.943516308671441</v>
      </c>
    </row>
    <row r="238" spans="1:7" x14ac:dyDescent="0.25">
      <c r="A238" s="2" t="s">
        <v>302</v>
      </c>
      <c r="B238" s="2" t="s">
        <v>30</v>
      </c>
      <c r="C238" s="3">
        <v>3770</v>
      </c>
      <c r="D238" s="2">
        <v>917</v>
      </c>
      <c r="E238" s="2">
        <v>129</v>
      </c>
      <c r="F238" s="3">
        <v>71630</v>
      </c>
      <c r="G238" s="8">
        <f>((Posts!F238+Posts!G238+Posts!H238)/Posts!I238)*100</f>
        <v>6.7234398994834565</v>
      </c>
    </row>
    <row r="239" spans="1:7" x14ac:dyDescent="0.25">
      <c r="A239" s="2" t="s">
        <v>303</v>
      </c>
      <c r="B239" s="2" t="s">
        <v>14</v>
      </c>
      <c r="C239" s="3">
        <v>4725</v>
      </c>
      <c r="D239" s="2">
        <v>400</v>
      </c>
      <c r="E239" s="2">
        <v>362</v>
      </c>
      <c r="F239" s="3">
        <v>75600</v>
      </c>
      <c r="G239" s="8">
        <f>((Posts!F239+Posts!G239+Posts!H239)/Posts!I239)*100</f>
        <v>7.2579365079365079</v>
      </c>
    </row>
    <row r="240" spans="1:7" x14ac:dyDescent="0.25">
      <c r="A240" s="2" t="s">
        <v>304</v>
      </c>
      <c r="B240" s="2" t="s">
        <v>25</v>
      </c>
      <c r="C240" s="3">
        <v>4188</v>
      </c>
      <c r="D240" s="2">
        <v>942</v>
      </c>
      <c r="E240" s="2">
        <v>118</v>
      </c>
      <c r="F240" s="3">
        <v>20940</v>
      </c>
      <c r="G240" s="8">
        <f>((Posts!F240+Posts!G240+Posts!H240)/Posts!I240)*100</f>
        <v>25.062082139446034</v>
      </c>
    </row>
    <row r="241" spans="1:7" x14ac:dyDescent="0.25">
      <c r="A241" s="2" t="s">
        <v>305</v>
      </c>
      <c r="B241" s="2" t="s">
        <v>14</v>
      </c>
      <c r="C241" s="3">
        <v>929</v>
      </c>
      <c r="D241" s="2">
        <v>192</v>
      </c>
      <c r="E241" s="2">
        <v>322</v>
      </c>
      <c r="F241" s="3">
        <v>16722</v>
      </c>
      <c r="G241" s="8">
        <f>((Posts!F241+Posts!G241+Posts!H241)/Posts!I241)*100</f>
        <v>8.6293505561535699</v>
      </c>
    </row>
    <row r="242" spans="1:7" x14ac:dyDescent="0.25">
      <c r="A242" s="2" t="s">
        <v>306</v>
      </c>
      <c r="B242" s="2" t="s">
        <v>38</v>
      </c>
      <c r="C242" s="3">
        <v>4321</v>
      </c>
      <c r="D242" s="2">
        <v>874</v>
      </c>
      <c r="E242" s="2">
        <v>172</v>
      </c>
      <c r="F242" s="3">
        <v>30247</v>
      </c>
      <c r="G242" s="8">
        <f>((Posts!F242+Posts!G242+Posts!H242)/Posts!I242)*100</f>
        <v>17.74390848679208</v>
      </c>
    </row>
    <row r="243" spans="1:7" x14ac:dyDescent="0.25">
      <c r="A243" s="2" t="s">
        <v>307</v>
      </c>
      <c r="B243" s="2" t="s">
        <v>38</v>
      </c>
      <c r="C243" s="3">
        <v>4767</v>
      </c>
      <c r="D243" s="2">
        <v>190</v>
      </c>
      <c r="E243" s="2">
        <v>340</v>
      </c>
      <c r="F243" s="3">
        <v>28602</v>
      </c>
      <c r="G243" s="8">
        <f>((Posts!F243+Posts!G243+Posts!H243)/Posts!I243)*100</f>
        <v>18.519683938186141</v>
      </c>
    </row>
    <row r="244" spans="1:7" x14ac:dyDescent="0.25">
      <c r="A244" s="2" t="s">
        <v>308</v>
      </c>
      <c r="B244" s="2" t="s">
        <v>14</v>
      </c>
      <c r="C244" s="3">
        <v>3592</v>
      </c>
      <c r="D244" s="2">
        <v>911</v>
      </c>
      <c r="E244" s="2">
        <v>375</v>
      </c>
      <c r="F244" s="3">
        <v>50288</v>
      </c>
      <c r="G244" s="8">
        <f>((Posts!F244+Posts!G244+Posts!H244)/Posts!I244)*100</f>
        <v>9.7001272669424115</v>
      </c>
    </row>
    <row r="245" spans="1:7" x14ac:dyDescent="0.25">
      <c r="A245" s="2" t="s">
        <v>309</v>
      </c>
      <c r="B245" s="2" t="s">
        <v>25</v>
      </c>
      <c r="C245" s="3">
        <v>4661</v>
      </c>
      <c r="D245" s="2">
        <v>935</v>
      </c>
      <c r="E245" s="2">
        <v>433</v>
      </c>
      <c r="F245" s="3">
        <v>23305</v>
      </c>
      <c r="G245" s="8">
        <f>((Posts!F245+Posts!G245+Posts!H245)/Posts!I245)*100</f>
        <v>25.869984981763572</v>
      </c>
    </row>
    <row r="246" spans="1:7" x14ac:dyDescent="0.25">
      <c r="A246" s="2" t="s">
        <v>310</v>
      </c>
      <c r="B246" s="2" t="s">
        <v>38</v>
      </c>
      <c r="C246" s="3">
        <v>4134</v>
      </c>
      <c r="D246" s="2">
        <v>824</v>
      </c>
      <c r="E246" s="2">
        <v>99</v>
      </c>
      <c r="F246" s="3">
        <v>41340</v>
      </c>
      <c r="G246" s="8">
        <f>((Posts!F246+Posts!G246+Posts!H246)/Posts!I246)*100</f>
        <v>12.232704402515724</v>
      </c>
    </row>
    <row r="247" spans="1:7" x14ac:dyDescent="0.25">
      <c r="A247" s="2" t="s">
        <v>311</v>
      </c>
      <c r="B247" s="2" t="s">
        <v>38</v>
      </c>
      <c r="C247" s="3">
        <v>400</v>
      </c>
      <c r="D247" s="2">
        <v>680</v>
      </c>
      <c r="E247" s="2">
        <v>434</v>
      </c>
      <c r="F247" s="3">
        <v>6400</v>
      </c>
      <c r="G247" s="8">
        <f>((Posts!F247+Posts!G247+Posts!H247)/Posts!I247)*100</f>
        <v>23.65625</v>
      </c>
    </row>
    <row r="248" spans="1:7" x14ac:dyDescent="0.25">
      <c r="A248" s="2" t="s">
        <v>312</v>
      </c>
      <c r="B248" s="2" t="s">
        <v>38</v>
      </c>
      <c r="C248" s="3">
        <v>3960</v>
      </c>
      <c r="D248" s="2">
        <v>266</v>
      </c>
      <c r="E248" s="2">
        <v>8</v>
      </c>
      <c r="F248" s="3">
        <v>35640</v>
      </c>
      <c r="G248" s="8">
        <f>((Posts!F248+Posts!G248+Posts!H248)/Posts!I248)*100</f>
        <v>11.879910213243546</v>
      </c>
    </row>
    <row r="249" spans="1:7" x14ac:dyDescent="0.25">
      <c r="A249" s="2" t="s">
        <v>314</v>
      </c>
      <c r="B249" s="2" t="s">
        <v>38</v>
      </c>
      <c r="C249" s="3">
        <v>886</v>
      </c>
      <c r="D249" s="2">
        <v>126</v>
      </c>
      <c r="E249" s="2">
        <v>153</v>
      </c>
      <c r="F249" s="3">
        <v>4430</v>
      </c>
      <c r="G249" s="8">
        <f>((Posts!F249+Posts!G249+Posts!H249)/Posts!I249)*100</f>
        <v>26.297968397291193</v>
      </c>
    </row>
    <row r="250" spans="1:7" x14ac:dyDescent="0.25">
      <c r="A250" s="2" t="s">
        <v>315</v>
      </c>
      <c r="B250" s="2" t="s">
        <v>14</v>
      </c>
      <c r="C250" s="3">
        <v>827</v>
      </c>
      <c r="D250" s="2">
        <v>77</v>
      </c>
      <c r="E250" s="2">
        <v>402</v>
      </c>
      <c r="F250" s="3">
        <v>14886</v>
      </c>
      <c r="G250" s="8">
        <f>((Posts!F250+Posts!G250+Posts!H250)/Posts!I250)*100</f>
        <v>8.7733440816874904</v>
      </c>
    </row>
    <row r="251" spans="1:7" x14ac:dyDescent="0.25">
      <c r="A251" s="2" t="s">
        <v>316</v>
      </c>
      <c r="B251" s="2" t="s">
        <v>38</v>
      </c>
      <c r="C251" s="3">
        <v>3813</v>
      </c>
      <c r="D251" s="2">
        <v>935</v>
      </c>
      <c r="E251" s="2">
        <v>274</v>
      </c>
      <c r="F251" s="3">
        <v>68634</v>
      </c>
      <c r="G251" s="8">
        <f>((Posts!F251+Posts!G251+Posts!H251)/Posts!I251)*100</f>
        <v>7.3170731707317067</v>
      </c>
    </row>
    <row r="252" spans="1:7" x14ac:dyDescent="0.25">
      <c r="A252" s="2" t="s">
        <v>317</v>
      </c>
      <c r="B252" s="2" t="s">
        <v>30</v>
      </c>
      <c r="C252" s="3">
        <v>1377</v>
      </c>
      <c r="D252" s="2">
        <v>796</v>
      </c>
      <c r="E252" s="2">
        <v>387</v>
      </c>
      <c r="F252" s="3">
        <v>22032</v>
      </c>
      <c r="G252" s="8">
        <f>((Posts!F252+Posts!G252+Posts!H252)/Posts!I252)*100</f>
        <v>11.619462599854756</v>
      </c>
    </row>
    <row r="253" spans="1:7" x14ac:dyDescent="0.25">
      <c r="A253" s="2" t="s">
        <v>318</v>
      </c>
      <c r="B253" s="2" t="s">
        <v>38</v>
      </c>
      <c r="C253" s="3">
        <v>2089</v>
      </c>
      <c r="D253" s="2">
        <v>476</v>
      </c>
      <c r="E253" s="2">
        <v>69</v>
      </c>
      <c r="F253" s="3">
        <v>16712</v>
      </c>
      <c r="G253" s="8">
        <f>((Posts!F253+Posts!G253+Posts!H253)/Posts!I253)*100</f>
        <v>15.761129727142173</v>
      </c>
    </row>
    <row r="254" spans="1:7" x14ac:dyDescent="0.25">
      <c r="A254" s="2" t="s">
        <v>319</v>
      </c>
      <c r="B254" s="2" t="s">
        <v>14</v>
      </c>
      <c r="C254" s="3">
        <v>3791</v>
      </c>
      <c r="D254" s="2">
        <v>593</v>
      </c>
      <c r="E254" s="2">
        <v>228</v>
      </c>
      <c r="F254" s="3">
        <v>53074</v>
      </c>
      <c r="G254" s="8">
        <f>((Posts!F254+Posts!G254+Posts!H254)/Posts!I254)*100</f>
        <v>8.6897539284772201</v>
      </c>
    </row>
    <row r="255" spans="1:7" x14ac:dyDescent="0.25">
      <c r="A255" s="2" t="s">
        <v>320</v>
      </c>
      <c r="B255" s="2" t="s">
        <v>14</v>
      </c>
      <c r="C255" s="3">
        <v>2692</v>
      </c>
      <c r="D255" s="2">
        <v>115</v>
      </c>
      <c r="E255" s="2">
        <v>64</v>
      </c>
      <c r="F255" s="3">
        <v>21536</v>
      </c>
      <c r="G255" s="8">
        <f>((Posts!F255+Posts!G255+Posts!H255)/Posts!I255)*100</f>
        <v>13.331166419019317</v>
      </c>
    </row>
    <row r="256" spans="1:7" x14ac:dyDescent="0.25">
      <c r="A256" s="2" t="s">
        <v>321</v>
      </c>
      <c r="B256" s="2" t="s">
        <v>38</v>
      </c>
      <c r="C256" s="3">
        <v>3767</v>
      </c>
      <c r="D256" s="2">
        <v>514</v>
      </c>
      <c r="E256" s="2">
        <v>238</v>
      </c>
      <c r="F256" s="3">
        <v>37670</v>
      </c>
      <c r="G256" s="8">
        <f>((Posts!F256+Posts!G256+Posts!H256)/Posts!I256)*100</f>
        <v>11.996283514733209</v>
      </c>
    </row>
    <row r="257" spans="1:7" x14ac:dyDescent="0.25">
      <c r="A257" s="2" t="s">
        <v>322</v>
      </c>
      <c r="B257" s="2" t="s">
        <v>25</v>
      </c>
      <c r="C257" s="3">
        <v>2143</v>
      </c>
      <c r="D257" s="2">
        <v>12</v>
      </c>
      <c r="E257" s="2">
        <v>204</v>
      </c>
      <c r="F257" s="3">
        <v>40717</v>
      </c>
      <c r="G257" s="8">
        <f>((Posts!F257+Posts!G257+Posts!H257)/Posts!I257)*100</f>
        <v>5.793648844463001</v>
      </c>
    </row>
    <row r="258" spans="1:7" x14ac:dyDescent="0.25">
      <c r="A258" s="2" t="s">
        <v>323</v>
      </c>
      <c r="B258" s="2" t="s">
        <v>38</v>
      </c>
      <c r="C258" s="3">
        <v>3090</v>
      </c>
      <c r="D258" s="2">
        <v>697</v>
      </c>
      <c r="E258" s="2">
        <v>164</v>
      </c>
      <c r="F258" s="3">
        <v>49440</v>
      </c>
      <c r="G258" s="8">
        <f>((Posts!F258+Posts!G258+Posts!H258)/Posts!I258)*100</f>
        <v>7.991504854368932</v>
      </c>
    </row>
    <row r="259" spans="1:7" x14ac:dyDescent="0.25">
      <c r="A259" s="2" t="s">
        <v>325</v>
      </c>
      <c r="B259" s="2" t="s">
        <v>30</v>
      </c>
      <c r="C259" s="3">
        <v>3601</v>
      </c>
      <c r="D259" s="2">
        <v>695</v>
      </c>
      <c r="E259" s="2">
        <v>75</v>
      </c>
      <c r="F259" s="3">
        <v>21606</v>
      </c>
      <c r="G259" s="8">
        <f>((Posts!F259+Posts!G259+Posts!H259)/Posts!I259)*100</f>
        <v>20.230491530130521</v>
      </c>
    </row>
    <row r="260" spans="1:7" x14ac:dyDescent="0.25">
      <c r="A260" s="2" t="s">
        <v>326</v>
      </c>
      <c r="B260" s="2" t="s">
        <v>38</v>
      </c>
      <c r="C260" s="3">
        <v>562</v>
      </c>
      <c r="D260" s="2">
        <v>158</v>
      </c>
      <c r="E260" s="2">
        <v>149</v>
      </c>
      <c r="F260" s="3">
        <v>3372</v>
      </c>
      <c r="G260" s="8">
        <f>((Posts!F260+Posts!G260+Posts!H260)/Posts!I260)*100</f>
        <v>25.771055753262157</v>
      </c>
    </row>
    <row r="261" spans="1:7" x14ac:dyDescent="0.25">
      <c r="A261" s="2" t="s">
        <v>327</v>
      </c>
      <c r="B261" s="2" t="s">
        <v>30</v>
      </c>
      <c r="C261" s="3">
        <v>4332</v>
      </c>
      <c r="D261" s="2">
        <v>771</v>
      </c>
      <c r="E261" s="2">
        <v>219</v>
      </c>
      <c r="F261" s="3">
        <v>60648</v>
      </c>
      <c r="G261" s="8">
        <f>((Posts!F261+Posts!G261+Posts!H261)/Posts!I261)*100</f>
        <v>8.775227542540561</v>
      </c>
    </row>
    <row r="262" spans="1:7" x14ac:dyDescent="0.25">
      <c r="A262" s="2" t="s">
        <v>329</v>
      </c>
      <c r="B262" s="2" t="s">
        <v>30</v>
      </c>
      <c r="C262" s="3">
        <v>4853</v>
      </c>
      <c r="D262" s="2">
        <v>837</v>
      </c>
      <c r="E262" s="2">
        <v>340</v>
      </c>
      <c r="F262" s="3">
        <v>72795</v>
      </c>
      <c r="G262" s="8">
        <f>((Posts!F262+Posts!G262+Posts!H262)/Posts!I262)*100</f>
        <v>8.2835359571399128</v>
      </c>
    </row>
    <row r="263" spans="1:7" x14ac:dyDescent="0.25">
      <c r="A263" s="2" t="s">
        <v>330</v>
      </c>
      <c r="B263" s="2" t="s">
        <v>25</v>
      </c>
      <c r="C263" s="3">
        <v>1206</v>
      </c>
      <c r="D263" s="2">
        <v>238</v>
      </c>
      <c r="E263" s="2">
        <v>36</v>
      </c>
      <c r="F263" s="3">
        <v>9648</v>
      </c>
      <c r="G263" s="8">
        <f>((Posts!F263+Posts!G263+Posts!H263)/Posts!I263)*100</f>
        <v>15.339966832504146</v>
      </c>
    </row>
    <row r="264" spans="1:7" x14ac:dyDescent="0.25">
      <c r="A264" s="2" t="s">
        <v>331</v>
      </c>
      <c r="B264" s="2" t="s">
        <v>30</v>
      </c>
      <c r="C264" s="3">
        <v>2603</v>
      </c>
      <c r="D264" s="2">
        <v>690</v>
      </c>
      <c r="E264" s="2">
        <v>205</v>
      </c>
      <c r="F264" s="3">
        <v>13015</v>
      </c>
      <c r="G264" s="8">
        <f>((Posts!F264+Posts!G264+Posts!H264)/Posts!I264)*100</f>
        <v>26.876680752977332</v>
      </c>
    </row>
    <row r="265" spans="1:7" x14ac:dyDescent="0.25">
      <c r="A265" s="2" t="s">
        <v>332</v>
      </c>
      <c r="B265" s="2" t="s">
        <v>14</v>
      </c>
      <c r="C265" s="3">
        <v>59</v>
      </c>
      <c r="D265" s="2">
        <v>163</v>
      </c>
      <c r="E265" s="2">
        <v>93</v>
      </c>
      <c r="F265" s="3">
        <v>590</v>
      </c>
      <c r="G265" s="8">
        <f>((Posts!F265+Posts!G265+Posts!H265)/Posts!I265)*100</f>
        <v>53.389830508474581</v>
      </c>
    </row>
    <row r="266" spans="1:7" x14ac:dyDescent="0.25">
      <c r="A266" s="2" t="s">
        <v>333</v>
      </c>
      <c r="B266" s="2" t="s">
        <v>14</v>
      </c>
      <c r="C266" s="3">
        <v>1877</v>
      </c>
      <c r="D266" s="2">
        <v>745</v>
      </c>
      <c r="E266" s="2">
        <v>225</v>
      </c>
      <c r="F266" s="3">
        <v>11262</v>
      </c>
      <c r="G266" s="8">
        <f>((Posts!F266+Posts!G266+Posts!H266)/Posts!I266)*100</f>
        <v>25.279701651571656</v>
      </c>
    </row>
    <row r="267" spans="1:7" x14ac:dyDescent="0.25">
      <c r="A267" s="2" t="s">
        <v>334</v>
      </c>
      <c r="B267" s="2" t="s">
        <v>38</v>
      </c>
      <c r="C267" s="3">
        <v>4182</v>
      </c>
      <c r="D267" s="2">
        <v>640</v>
      </c>
      <c r="E267" s="2">
        <v>240</v>
      </c>
      <c r="F267" s="3">
        <v>50184</v>
      </c>
      <c r="G267" s="8">
        <f>((Posts!F267+Posts!G267+Posts!H267)/Posts!I267)*100</f>
        <v>10.086880280567511</v>
      </c>
    </row>
    <row r="268" spans="1:7" x14ac:dyDescent="0.25">
      <c r="A268" s="2" t="s">
        <v>335</v>
      </c>
      <c r="B268" s="2" t="s">
        <v>14</v>
      </c>
      <c r="C268" s="3">
        <v>4187</v>
      </c>
      <c r="D268" s="2">
        <v>66</v>
      </c>
      <c r="E268" s="2">
        <v>31</v>
      </c>
      <c r="F268" s="3">
        <v>66992</v>
      </c>
      <c r="G268" s="8">
        <f>((Posts!F268+Posts!G268+Posts!H268)/Posts!I268)*100</f>
        <v>6.3947934081681392</v>
      </c>
    </row>
    <row r="269" spans="1:7" x14ac:dyDescent="0.25">
      <c r="A269" s="2" t="s">
        <v>336</v>
      </c>
      <c r="B269" s="2" t="s">
        <v>30</v>
      </c>
      <c r="C269" s="3">
        <v>4579</v>
      </c>
      <c r="D269" s="2">
        <v>125</v>
      </c>
      <c r="E269" s="2">
        <v>300</v>
      </c>
      <c r="F269" s="3">
        <v>59527</v>
      </c>
      <c r="G269" s="8">
        <f>((Posts!F269+Posts!G269+Posts!H269)/Posts!I269)*100</f>
        <v>8.4062694239588751</v>
      </c>
    </row>
    <row r="270" spans="1:7" x14ac:dyDescent="0.25">
      <c r="A270" s="2" t="s">
        <v>337</v>
      </c>
      <c r="B270" s="2" t="s">
        <v>30</v>
      </c>
      <c r="C270" s="3">
        <v>4561</v>
      </c>
      <c r="D270" s="2">
        <v>51</v>
      </c>
      <c r="E270" s="2">
        <v>441</v>
      </c>
      <c r="F270" s="3">
        <v>22805</v>
      </c>
      <c r="G270" s="8">
        <f>((Posts!F270+Posts!G270+Posts!H270)/Posts!I270)*100</f>
        <v>22.157421618066213</v>
      </c>
    </row>
    <row r="271" spans="1:7" x14ac:dyDescent="0.25">
      <c r="A271" s="2" t="s">
        <v>338</v>
      </c>
      <c r="B271" s="2" t="s">
        <v>25</v>
      </c>
      <c r="C271" s="3">
        <v>3774</v>
      </c>
      <c r="D271" s="2">
        <v>239</v>
      </c>
      <c r="E271" s="2">
        <v>39</v>
      </c>
      <c r="F271" s="3">
        <v>60384</v>
      </c>
      <c r="G271" s="8">
        <f>((Posts!F271+Posts!G271+Posts!H271)/Posts!I271)*100</f>
        <v>6.7103868574456813</v>
      </c>
    </row>
    <row r="272" spans="1:7" x14ac:dyDescent="0.25">
      <c r="A272" s="2" t="s">
        <v>339</v>
      </c>
      <c r="B272" s="2" t="s">
        <v>30</v>
      </c>
      <c r="C272" s="3">
        <v>3575</v>
      </c>
      <c r="D272" s="2">
        <v>749</v>
      </c>
      <c r="E272" s="2">
        <v>111</v>
      </c>
      <c r="F272" s="3">
        <v>21450</v>
      </c>
      <c r="G272" s="8">
        <f>((Posts!F272+Posts!G272+Posts!H272)/Posts!I272)*100</f>
        <v>20.675990675990676</v>
      </c>
    </row>
    <row r="273" spans="1:7" x14ac:dyDescent="0.25">
      <c r="A273" s="2" t="s">
        <v>340</v>
      </c>
      <c r="B273" s="2" t="s">
        <v>30</v>
      </c>
      <c r="C273" s="3">
        <v>4941</v>
      </c>
      <c r="D273" s="2">
        <v>414</v>
      </c>
      <c r="E273" s="2">
        <v>266</v>
      </c>
      <c r="F273" s="3">
        <v>39528</v>
      </c>
      <c r="G273" s="8">
        <f>((Posts!F273+Posts!G273+Posts!H273)/Posts!I273)*100</f>
        <v>14.220299534507186</v>
      </c>
    </row>
    <row r="274" spans="1:7" x14ac:dyDescent="0.25">
      <c r="A274" s="2" t="s">
        <v>341</v>
      </c>
      <c r="B274" s="2" t="s">
        <v>25</v>
      </c>
      <c r="C274" s="3">
        <v>3641</v>
      </c>
      <c r="D274" s="2">
        <v>226</v>
      </c>
      <c r="E274" s="2">
        <v>46</v>
      </c>
      <c r="F274" s="3">
        <v>40051</v>
      </c>
      <c r="G274" s="8">
        <f>((Posts!F274+Posts!G274+Posts!H274)/Posts!I274)*100</f>
        <v>9.770043194926469</v>
      </c>
    </row>
    <row r="275" spans="1:7" x14ac:dyDescent="0.25">
      <c r="A275" s="2" t="s">
        <v>342</v>
      </c>
      <c r="B275" s="2" t="s">
        <v>14</v>
      </c>
      <c r="C275" s="3">
        <v>3535</v>
      </c>
      <c r="D275" s="2">
        <v>494</v>
      </c>
      <c r="E275" s="2">
        <v>152</v>
      </c>
      <c r="F275" s="3">
        <v>53025</v>
      </c>
      <c r="G275" s="8">
        <f>((Posts!F275+Posts!G275+Posts!H275)/Posts!I275)*100</f>
        <v>7.8849599245638853</v>
      </c>
    </row>
    <row r="276" spans="1:7" x14ac:dyDescent="0.25">
      <c r="A276" s="2" t="s">
        <v>343</v>
      </c>
      <c r="B276" s="2" t="s">
        <v>38</v>
      </c>
      <c r="C276" s="3">
        <v>1741</v>
      </c>
      <c r="D276" s="2">
        <v>831</v>
      </c>
      <c r="E276" s="2">
        <v>345</v>
      </c>
      <c r="F276" s="3">
        <v>17410</v>
      </c>
      <c r="G276" s="8">
        <f>((Posts!F276+Posts!G276+Posts!H276)/Posts!I276)*100</f>
        <v>16.754738655944859</v>
      </c>
    </row>
    <row r="277" spans="1:7" x14ac:dyDescent="0.25">
      <c r="A277" s="2" t="s">
        <v>344</v>
      </c>
      <c r="B277" s="2" t="s">
        <v>14</v>
      </c>
      <c r="C277" s="3">
        <v>1556</v>
      </c>
      <c r="D277" s="2">
        <v>195</v>
      </c>
      <c r="E277" s="2">
        <v>131</v>
      </c>
      <c r="F277" s="3">
        <v>9336</v>
      </c>
      <c r="G277" s="8">
        <f>((Posts!F277+Posts!G277+Posts!H277)/Posts!I277)*100</f>
        <v>20.158526135389891</v>
      </c>
    </row>
    <row r="278" spans="1:7" x14ac:dyDescent="0.25">
      <c r="A278" s="2" t="s">
        <v>345</v>
      </c>
      <c r="B278" s="2" t="s">
        <v>38</v>
      </c>
      <c r="C278" s="3">
        <v>4236</v>
      </c>
      <c r="D278" s="2">
        <v>711</v>
      </c>
      <c r="E278" s="2">
        <v>298</v>
      </c>
      <c r="F278" s="3">
        <v>21180</v>
      </c>
      <c r="G278" s="8">
        <f>((Posts!F278+Posts!G278+Posts!H278)/Posts!I278)*100</f>
        <v>24.76392823418319</v>
      </c>
    </row>
    <row r="279" spans="1:7" x14ac:dyDescent="0.25">
      <c r="A279" s="2" t="s">
        <v>346</v>
      </c>
      <c r="B279" s="2" t="s">
        <v>14</v>
      </c>
      <c r="C279" s="3">
        <v>4516</v>
      </c>
      <c r="D279" s="2">
        <v>836</v>
      </c>
      <c r="E279" s="2">
        <v>169</v>
      </c>
      <c r="F279" s="3">
        <v>49676</v>
      </c>
      <c r="G279" s="8">
        <f>((Posts!F279+Posts!G279+Posts!H279)/Posts!I279)*100</f>
        <v>11.114018842096787</v>
      </c>
    </row>
    <row r="280" spans="1:7" x14ac:dyDescent="0.25">
      <c r="A280" s="2" t="s">
        <v>347</v>
      </c>
      <c r="B280" s="2" t="s">
        <v>25</v>
      </c>
      <c r="C280" s="3">
        <v>4905</v>
      </c>
      <c r="D280" s="2">
        <v>845</v>
      </c>
      <c r="E280" s="2">
        <v>129</v>
      </c>
      <c r="F280" s="3">
        <v>98100</v>
      </c>
      <c r="G280" s="8">
        <f>((Posts!F280+Posts!G280+Posts!H280)/Posts!I280)*100</f>
        <v>5.9928644240570845</v>
      </c>
    </row>
    <row r="281" spans="1:7" x14ac:dyDescent="0.25">
      <c r="A281" s="2" t="s">
        <v>348</v>
      </c>
      <c r="B281" s="2" t="s">
        <v>25</v>
      </c>
      <c r="C281" s="3">
        <v>4275</v>
      </c>
      <c r="D281" s="2">
        <v>680</v>
      </c>
      <c r="E281" s="2">
        <v>385</v>
      </c>
      <c r="F281" s="3">
        <v>64125</v>
      </c>
      <c r="G281" s="8">
        <f>((Posts!F281+Posts!G281+Posts!H281)/Posts!I281)*100</f>
        <v>8.3274853801169577</v>
      </c>
    </row>
    <row r="282" spans="1:7" x14ac:dyDescent="0.25">
      <c r="A282" s="2" t="s">
        <v>349</v>
      </c>
      <c r="B282" s="2" t="s">
        <v>25</v>
      </c>
      <c r="C282" s="3">
        <v>3166</v>
      </c>
      <c r="D282" s="2">
        <v>90</v>
      </c>
      <c r="E282" s="2">
        <v>341</v>
      </c>
      <c r="F282" s="3">
        <v>56988</v>
      </c>
      <c r="G282" s="8">
        <f>((Posts!F282+Posts!G282+Posts!H282)/Posts!I282)*100</f>
        <v>6.3118551273952415</v>
      </c>
    </row>
    <row r="283" spans="1:7" x14ac:dyDescent="0.25">
      <c r="A283" s="2" t="s">
        <v>350</v>
      </c>
      <c r="B283" s="2" t="s">
        <v>30</v>
      </c>
      <c r="C283" s="3">
        <v>1488</v>
      </c>
      <c r="D283" s="2">
        <v>417</v>
      </c>
      <c r="E283" s="2">
        <v>168</v>
      </c>
      <c r="F283" s="3">
        <v>19344</v>
      </c>
      <c r="G283" s="8">
        <f>((Posts!F283+Posts!G283+Posts!H283)/Posts!I283)*100</f>
        <v>10.716501240694789</v>
      </c>
    </row>
    <row r="284" spans="1:7" x14ac:dyDescent="0.25">
      <c r="A284" s="2" t="s">
        <v>351</v>
      </c>
      <c r="B284" s="2" t="s">
        <v>14</v>
      </c>
      <c r="C284" s="3">
        <v>3367</v>
      </c>
      <c r="D284" s="2">
        <v>302</v>
      </c>
      <c r="E284" s="2">
        <v>57</v>
      </c>
      <c r="F284" s="3">
        <v>63973</v>
      </c>
      <c r="G284" s="8">
        <f>((Posts!F284+Posts!G284+Posts!H284)/Posts!I284)*100</f>
        <v>5.8243321401216139</v>
      </c>
    </row>
    <row r="285" spans="1:7" x14ac:dyDescent="0.25">
      <c r="A285" s="2" t="s">
        <v>352</v>
      </c>
      <c r="B285" s="2" t="s">
        <v>14</v>
      </c>
      <c r="C285" s="3">
        <v>571</v>
      </c>
      <c r="D285" s="2">
        <v>190</v>
      </c>
      <c r="E285" s="2">
        <v>352</v>
      </c>
      <c r="F285" s="3">
        <v>9707</v>
      </c>
      <c r="G285" s="8">
        <f>((Posts!F285+Posts!G285+Posts!H285)/Posts!I285)*100</f>
        <v>11.46595240548058</v>
      </c>
    </row>
    <row r="286" spans="1:7" x14ac:dyDescent="0.25">
      <c r="A286" s="2" t="s">
        <v>353</v>
      </c>
      <c r="B286" s="2" t="s">
        <v>25</v>
      </c>
      <c r="C286" s="3">
        <v>4021</v>
      </c>
      <c r="D286" s="2">
        <v>794</v>
      </c>
      <c r="E286" s="2">
        <v>77</v>
      </c>
      <c r="F286" s="3">
        <v>36189</v>
      </c>
      <c r="G286" s="8">
        <f>((Posts!F286+Posts!G286+Posts!H286)/Posts!I286)*100</f>
        <v>13.517919809886983</v>
      </c>
    </row>
    <row r="287" spans="1:7" x14ac:dyDescent="0.25">
      <c r="A287" s="2" t="s">
        <v>354</v>
      </c>
      <c r="B287" s="2" t="s">
        <v>25</v>
      </c>
      <c r="C287" s="3">
        <v>3389</v>
      </c>
      <c r="D287" s="2">
        <v>344</v>
      </c>
      <c r="E287" s="2">
        <v>229</v>
      </c>
      <c r="F287" s="3">
        <v>20334</v>
      </c>
      <c r="G287" s="8">
        <f>((Posts!F287+Posts!G287+Posts!H287)/Posts!I287)*100</f>
        <v>19.484607062063539</v>
      </c>
    </row>
    <row r="288" spans="1:7" x14ac:dyDescent="0.25">
      <c r="A288" s="2" t="s">
        <v>355</v>
      </c>
      <c r="B288" s="2" t="s">
        <v>30</v>
      </c>
      <c r="C288" s="3">
        <v>1164</v>
      </c>
      <c r="D288" s="2">
        <v>616</v>
      </c>
      <c r="E288" s="2">
        <v>324</v>
      </c>
      <c r="F288" s="3">
        <v>6984</v>
      </c>
      <c r="G288" s="8">
        <f>((Posts!F288+Posts!G288+Posts!H288)/Posts!I288)*100</f>
        <v>30.126002290950744</v>
      </c>
    </row>
    <row r="289" spans="1:7" x14ac:dyDescent="0.25">
      <c r="A289" s="2" t="s">
        <v>356</v>
      </c>
      <c r="B289" s="2" t="s">
        <v>25</v>
      </c>
      <c r="C289" s="3">
        <v>4780</v>
      </c>
      <c r="D289" s="2">
        <v>691</v>
      </c>
      <c r="E289" s="2">
        <v>380</v>
      </c>
      <c r="F289" s="3">
        <v>86040</v>
      </c>
      <c r="G289" s="8">
        <f>((Posts!F289+Posts!G289+Posts!H289)/Posts!I289)*100</f>
        <v>6.8003254300325429</v>
      </c>
    </row>
    <row r="290" spans="1:7" x14ac:dyDescent="0.25">
      <c r="A290" s="2" t="s">
        <v>357</v>
      </c>
      <c r="B290" s="2" t="s">
        <v>38</v>
      </c>
      <c r="C290" s="3">
        <v>2751</v>
      </c>
      <c r="D290" s="2">
        <v>33</v>
      </c>
      <c r="E290" s="2">
        <v>430</v>
      </c>
      <c r="F290" s="3">
        <v>44016</v>
      </c>
      <c r="G290" s="8">
        <f>((Posts!F290+Posts!G290+Posts!H290)/Posts!I290)*100</f>
        <v>7.3018902217375503</v>
      </c>
    </row>
    <row r="291" spans="1:7" x14ac:dyDescent="0.25">
      <c r="A291" s="2" t="s">
        <v>358</v>
      </c>
      <c r="B291" s="2" t="s">
        <v>30</v>
      </c>
      <c r="C291" s="3">
        <v>2107</v>
      </c>
      <c r="D291" s="2">
        <v>550</v>
      </c>
      <c r="E291" s="2">
        <v>349</v>
      </c>
      <c r="F291" s="3">
        <v>35819</v>
      </c>
      <c r="G291" s="8">
        <f>((Posts!F291+Posts!G291+Posts!H291)/Posts!I291)*100</f>
        <v>8.392194086937101</v>
      </c>
    </row>
    <row r="292" spans="1:7" x14ac:dyDescent="0.25">
      <c r="A292" s="2" t="s">
        <v>359</v>
      </c>
      <c r="B292" s="2" t="s">
        <v>38</v>
      </c>
      <c r="C292" s="3">
        <v>4663</v>
      </c>
      <c r="D292" s="2">
        <v>145</v>
      </c>
      <c r="E292" s="2">
        <v>225</v>
      </c>
      <c r="F292" s="3">
        <v>69945</v>
      </c>
      <c r="G292" s="8">
        <f>((Posts!F292+Posts!G292+Posts!H292)/Posts!I292)*100</f>
        <v>7.1956537279290869</v>
      </c>
    </row>
    <row r="293" spans="1:7" x14ac:dyDescent="0.25">
      <c r="A293" s="2" t="s">
        <v>360</v>
      </c>
      <c r="B293" s="2" t="s">
        <v>38</v>
      </c>
      <c r="C293" s="3">
        <v>880</v>
      </c>
      <c r="D293" s="2">
        <v>297</v>
      </c>
      <c r="E293" s="2">
        <v>345</v>
      </c>
      <c r="F293" s="3">
        <v>12320</v>
      </c>
      <c r="G293" s="8">
        <f>((Posts!F293+Posts!G293+Posts!H293)/Posts!I293)*100</f>
        <v>12.353896103896105</v>
      </c>
    </row>
    <row r="294" spans="1:7" x14ac:dyDescent="0.25">
      <c r="A294" s="2" t="s">
        <v>361</v>
      </c>
      <c r="B294" s="2" t="s">
        <v>38</v>
      </c>
      <c r="C294" s="3">
        <v>2634</v>
      </c>
      <c r="D294" s="2">
        <v>726</v>
      </c>
      <c r="E294" s="2">
        <v>241</v>
      </c>
      <c r="F294" s="3">
        <v>28974</v>
      </c>
      <c r="G294" s="8">
        <f>((Posts!F294+Posts!G294+Posts!H294)/Posts!I294)*100</f>
        <v>12.428384068475184</v>
      </c>
    </row>
    <row r="295" spans="1:7" x14ac:dyDescent="0.25">
      <c r="A295" s="2" t="s">
        <v>362</v>
      </c>
      <c r="B295" s="2" t="s">
        <v>38</v>
      </c>
      <c r="C295" s="3">
        <v>4731</v>
      </c>
      <c r="D295" s="2">
        <v>173</v>
      </c>
      <c r="E295" s="2">
        <v>276</v>
      </c>
      <c r="F295" s="3">
        <v>28386</v>
      </c>
      <c r="G295" s="8">
        <f>((Posts!F295+Posts!G295+Posts!H295)/Posts!I295)*100</f>
        <v>18.248432325794404</v>
      </c>
    </row>
    <row r="296" spans="1:7" x14ac:dyDescent="0.25">
      <c r="A296" s="2" t="s">
        <v>363</v>
      </c>
      <c r="B296" s="2" t="s">
        <v>14</v>
      </c>
      <c r="C296" s="3">
        <v>1952</v>
      </c>
      <c r="D296" s="2">
        <v>344</v>
      </c>
      <c r="E296" s="2">
        <v>287</v>
      </c>
      <c r="F296" s="3">
        <v>15616</v>
      </c>
      <c r="G296" s="8">
        <f>((Posts!F296+Posts!G296+Posts!H296)/Posts!I296)*100</f>
        <v>16.540727459016395</v>
      </c>
    </row>
    <row r="297" spans="1:7" x14ac:dyDescent="0.25">
      <c r="A297" s="2" t="s">
        <v>364</v>
      </c>
      <c r="B297" s="2" t="s">
        <v>14</v>
      </c>
      <c r="C297" s="3">
        <v>3440</v>
      </c>
      <c r="D297" s="2">
        <v>13</v>
      </c>
      <c r="E297" s="2">
        <v>20</v>
      </c>
      <c r="F297" s="3">
        <v>58480</v>
      </c>
      <c r="G297" s="8">
        <f>((Posts!F297+Posts!G297+Posts!H297)/Posts!I297)*100</f>
        <v>5.938782489740082</v>
      </c>
    </row>
    <row r="298" spans="1:7" x14ac:dyDescent="0.25">
      <c r="A298" s="2" t="s">
        <v>365</v>
      </c>
      <c r="B298" s="2" t="s">
        <v>14</v>
      </c>
      <c r="C298" s="3">
        <v>2166</v>
      </c>
      <c r="D298" s="2">
        <v>354</v>
      </c>
      <c r="E298" s="2">
        <v>117</v>
      </c>
      <c r="F298" s="3">
        <v>10830</v>
      </c>
      <c r="G298" s="8">
        <f>((Posts!F298+Posts!G298+Posts!H298)/Posts!I298)*100</f>
        <v>24.349030470914126</v>
      </c>
    </row>
    <row r="299" spans="1:7" x14ac:dyDescent="0.25">
      <c r="A299" s="2" t="s">
        <v>366</v>
      </c>
      <c r="B299" s="2" t="s">
        <v>38</v>
      </c>
      <c r="C299" s="3">
        <v>4303</v>
      </c>
      <c r="D299" s="2">
        <v>451</v>
      </c>
      <c r="E299" s="2">
        <v>286</v>
      </c>
      <c r="F299" s="3">
        <v>86060</v>
      </c>
      <c r="G299" s="8">
        <f>((Posts!F299+Posts!G299+Posts!H299)/Posts!I299)*100</f>
        <v>5.8563792702765518</v>
      </c>
    </row>
    <row r="300" spans="1:7" x14ac:dyDescent="0.25">
      <c r="A300" s="2" t="s">
        <v>367</v>
      </c>
      <c r="B300" s="2" t="s">
        <v>38</v>
      </c>
      <c r="C300" s="3">
        <v>2581</v>
      </c>
      <c r="D300" s="2">
        <v>517</v>
      </c>
      <c r="E300" s="2">
        <v>117</v>
      </c>
      <c r="F300" s="3">
        <v>23229</v>
      </c>
      <c r="G300" s="8">
        <f>((Posts!F300+Posts!G300+Posts!H300)/Posts!I300)*100</f>
        <v>13.840458048129491</v>
      </c>
    </row>
    <row r="301" spans="1:7" x14ac:dyDescent="0.25">
      <c r="A301" s="2" t="s">
        <v>368</v>
      </c>
      <c r="B301" s="2" t="s">
        <v>14</v>
      </c>
      <c r="C301" s="3">
        <v>4494</v>
      </c>
      <c r="D301" s="2">
        <v>717</v>
      </c>
      <c r="E301" s="2">
        <v>45</v>
      </c>
      <c r="F301" s="3">
        <v>62916</v>
      </c>
      <c r="G301" s="8">
        <f>((Posts!F301+Posts!G301+Posts!H301)/Posts!I301)*100</f>
        <v>8.3539958039290489</v>
      </c>
    </row>
  </sheetData>
  <mergeCells count="4">
    <mergeCell ref="J2:Q2"/>
    <mergeCell ref="J4:L4"/>
    <mergeCell ref="J11:K11"/>
    <mergeCell ref="J18:K18"/>
  </mergeCells>
  <conditionalFormatting sqref="A2:A301">
    <cfRule type="duplicateValues" dxfId="0" priority="1"/>
  </conditionalFormatting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5DE2-8939-4FFD-9070-7F96A877EE01}">
  <dimension ref="A1:H57"/>
  <sheetViews>
    <sheetView workbookViewId="0">
      <selection activeCell="A15" sqref="A15"/>
    </sheetView>
  </sheetViews>
  <sheetFormatPr defaultRowHeight="15" x14ac:dyDescent="0.25"/>
  <cols>
    <col min="1" max="1" width="23.42578125" customWidth="1"/>
    <col min="2" max="2" width="27.140625" bestFit="1" customWidth="1"/>
    <col min="3" max="3" width="25.5703125" bestFit="1" customWidth="1"/>
    <col min="4" max="4" width="17.5703125" customWidth="1"/>
    <col min="5" max="5" width="13.42578125" bestFit="1" customWidth="1"/>
    <col min="6" max="6" width="15.5703125" bestFit="1" customWidth="1"/>
    <col min="7" max="7" width="27.140625" bestFit="1" customWidth="1"/>
    <col min="8" max="8" width="25.5703125" bestFit="1" customWidth="1"/>
    <col min="9" max="9" width="5.7109375" bestFit="1" customWidth="1"/>
    <col min="10" max="10" width="4.85546875" bestFit="1" customWidth="1"/>
    <col min="11" max="11" width="6.140625" bestFit="1" customWidth="1"/>
    <col min="12" max="12" width="11.28515625" bestFit="1" customWidth="1"/>
  </cols>
  <sheetData>
    <row r="1" spans="1:7" ht="21" x14ac:dyDescent="0.35">
      <c r="A1" s="45" t="s">
        <v>427</v>
      </c>
      <c r="B1" s="45"/>
      <c r="C1" s="45"/>
      <c r="D1" s="45"/>
      <c r="E1" s="7"/>
      <c r="F1" s="7"/>
      <c r="G1" s="7"/>
    </row>
    <row r="2" spans="1:7" ht="15.75" x14ac:dyDescent="0.25">
      <c r="A2" s="46" t="s">
        <v>426</v>
      </c>
      <c r="B2" s="46"/>
      <c r="C2" s="46"/>
      <c r="D2" s="46"/>
      <c r="E2" s="46"/>
      <c r="F2" s="46"/>
      <c r="G2" s="46"/>
    </row>
    <row r="3" spans="1:7" ht="15.75" x14ac:dyDescent="0.25">
      <c r="A3" s="69" t="s">
        <v>483</v>
      </c>
      <c r="B3" s="69"/>
    </row>
    <row r="4" spans="1:7" x14ac:dyDescent="0.25">
      <c r="A4" s="6" t="s">
        <v>413</v>
      </c>
      <c r="B4" s="6" t="s">
        <v>428</v>
      </c>
      <c r="C4" s="6" t="s">
        <v>429</v>
      </c>
      <c r="D4" s="6" t="s">
        <v>430</v>
      </c>
      <c r="E4" s="6" t="s">
        <v>431</v>
      </c>
      <c r="F4" s="6" t="s">
        <v>432</v>
      </c>
      <c r="G4" s="6" t="s">
        <v>399</v>
      </c>
    </row>
    <row r="5" spans="1:7" x14ac:dyDescent="0.25">
      <c r="A5" s="48" t="s">
        <v>27</v>
      </c>
      <c r="B5" s="48">
        <f>COUNTIF(Table10_1[Hashtags Used],'Task 4'!A5)</f>
        <v>107</v>
      </c>
      <c r="C5" s="49">
        <f>AVERAGEIF(Table10_1[Hashtags Used],'Task 4'!A5,Table10_1[Likes])</f>
        <v>2705.1028037383176</v>
      </c>
      <c r="D5" s="49">
        <f>AVERAGEIF(Table10_1[Hashtags Used],'Task 4'!A5,Table10_1[Comments])</f>
        <v>254.18691588785046</v>
      </c>
      <c r="E5" s="49">
        <f>AVERAGEIF(Table10_1[Hashtags Used],'Task 4'!A5,Table10_1[Shares])</f>
        <v>458.01869158878503</v>
      </c>
      <c r="F5" s="49">
        <f>AVERAGEIF(Table10_1[Hashtags Used],'Task 4'!A5,Table10_1[Impressions])</f>
        <v>35914</v>
      </c>
      <c r="G5" s="50">
        <f>AVERAGEIF(Table10_1[Hashtags Used],'Task 4'!A5,Table10_1[Engagement Rate])</f>
        <v>0.14515321153500599</v>
      </c>
    </row>
    <row r="6" spans="1:7" x14ac:dyDescent="0.25">
      <c r="A6" s="48" t="s">
        <v>51</v>
      </c>
      <c r="B6" s="48">
        <f>COUNTIF(Table10_1[Hashtags Used],'Task 4'!A6)</f>
        <v>103</v>
      </c>
      <c r="C6" s="49">
        <f>AVERAGEIF(Table10_1[Hashtags Used],'Task 4'!A6,Table10_1[Likes])</f>
        <v>2634.7184466019417</v>
      </c>
      <c r="D6" s="49">
        <f>AVERAGEIF(Table10_1[Hashtags Used],'Task 4'!A6,Table10_1[Comments])</f>
        <v>262.50485436893206</v>
      </c>
      <c r="E6" s="49">
        <f>AVERAGEIF(Table10_1[Hashtags Used],'Task 4'!A6,Table10_1[Shares])</f>
        <v>508.63106796116506</v>
      </c>
      <c r="F6" s="49">
        <f>AVERAGEIF(Table10_1[Hashtags Used],'Task 4'!A6,Table10_1[Impressions])</f>
        <v>33348.990291262133</v>
      </c>
      <c r="G6" s="50">
        <f>AVERAGEIF(Table10_1[Hashtags Used],'Task 4'!A6,Table10_1[Engagement Rate])</f>
        <v>0.14123247081320281</v>
      </c>
    </row>
    <row r="7" spans="1:7" x14ac:dyDescent="0.25">
      <c r="A7" t="s">
        <v>33</v>
      </c>
      <c r="B7">
        <f>COUNTIF(Table10_1[Hashtags Used],'Task 4'!A7)</f>
        <v>102</v>
      </c>
      <c r="C7" s="8">
        <f>AVERAGEIF(Table10_1[Hashtags Used],'Task 4'!A7,Table10_1[Likes])</f>
        <v>2838.8039215686276</v>
      </c>
      <c r="D7" s="8">
        <f>AVERAGEIF(Table10_1[Hashtags Used],'Task 4'!A7,Table10_1[Comments])</f>
        <v>230.95098039215685</v>
      </c>
      <c r="E7" s="8">
        <f>AVERAGEIF(Table10_1[Hashtags Used],'Task 4'!A7,Table10_1[Shares])</f>
        <v>464.96078431372547</v>
      </c>
      <c r="F7" s="8">
        <f>AVERAGEIF(Table10_1[Hashtags Used],'Task 4'!A7,Table10_1[Impressions])</f>
        <v>34738.823529411762</v>
      </c>
      <c r="G7" s="37">
        <f>AVERAGEIF(Table10_1[Hashtags Used],'Task 4'!A7,Table10_1[Engagement Rate])</f>
        <v>0.15386132749296613</v>
      </c>
    </row>
    <row r="8" spans="1:7" x14ac:dyDescent="0.25">
      <c r="A8" t="s">
        <v>379</v>
      </c>
      <c r="B8">
        <f>COUNTIF(Table10_1[Hashtags Used],'Task 4'!A8)</f>
        <v>15</v>
      </c>
      <c r="C8" s="8">
        <f>AVERAGEIF(Table10_1[Hashtags Used],'Task 4'!A8,Table10_1[Likes])</f>
        <v>2219.6</v>
      </c>
      <c r="D8" s="8">
        <f>AVERAGEIF(Table10_1[Hashtags Used],'Task 4'!A8,Table10_1[Comments])</f>
        <v>257.39999999999998</v>
      </c>
      <c r="E8" s="8">
        <f>AVERAGEIF(Table10_1[Hashtags Used],'Task 4'!A8,Table10_1[Shares])</f>
        <v>423.93333333333334</v>
      </c>
      <c r="F8" s="8">
        <f>AVERAGEIF(Table10_1[Hashtags Used],'Task 4'!A8,Table10_1[Impressions])</f>
        <v>27974.133333333335</v>
      </c>
      <c r="G8" s="37">
        <f>AVERAGEIF(Table10_1[Hashtags Used],'Task 4'!A8,Table10_1[Engagement Rate])</f>
        <v>0.11636073778371317</v>
      </c>
    </row>
    <row r="9" spans="1:7" x14ac:dyDescent="0.25">
      <c r="A9" t="s">
        <v>380</v>
      </c>
      <c r="B9">
        <f>COUNTIF(Table10_1[Hashtags Used],'Task 4'!A9)</f>
        <v>7</v>
      </c>
      <c r="C9" s="8">
        <f>AVERAGEIF(Table10_1[Hashtags Used],'Task 4'!A9,Table10_1[Likes])</f>
        <v>3451.7142857142858</v>
      </c>
      <c r="D9" s="8">
        <f>AVERAGEIF(Table10_1[Hashtags Used],'Task 4'!A9,Table10_1[Comments])</f>
        <v>151</v>
      </c>
      <c r="E9" s="8">
        <f>AVERAGEIF(Table10_1[Hashtags Used],'Task 4'!A9,Table10_1[Shares])</f>
        <v>540.57142857142856</v>
      </c>
      <c r="F9" s="8">
        <f>AVERAGEIF(Table10_1[Hashtags Used],'Task 4'!A9,Table10_1[Impressions])</f>
        <v>47972</v>
      </c>
      <c r="G9" s="37">
        <f>AVERAGEIF(Table10_1[Hashtags Used],'Task 4'!A9,Table10_1[Engagement Rate])</f>
        <v>0.12589594685729985</v>
      </c>
    </row>
    <row r="10" spans="1:7" x14ac:dyDescent="0.25">
      <c r="A10" t="s">
        <v>381</v>
      </c>
      <c r="B10">
        <f>COUNTIF(Table10_1[Hashtags Used],'Task 4'!A10)</f>
        <v>5</v>
      </c>
      <c r="C10" s="8">
        <f>AVERAGEIF(Table10_1[Hashtags Used],'Task 4'!A10,Table10_1[Likes])</f>
        <v>3127.8</v>
      </c>
      <c r="D10" s="8">
        <f>AVERAGEIF(Table10_1[Hashtags Used],'Task 4'!A10,Table10_1[Comments])</f>
        <v>283.39999999999998</v>
      </c>
      <c r="E10" s="8">
        <f>AVERAGEIF(Table10_1[Hashtags Used],'Task 4'!A10,Table10_1[Shares])</f>
        <v>356.2</v>
      </c>
      <c r="F10" s="8">
        <f>AVERAGEIF(Table10_1[Hashtags Used],'Task 4'!A10,Table10_1[Impressions])</f>
        <v>36447.199999999997</v>
      </c>
      <c r="G10" s="37">
        <f>AVERAGEIF(Table10_1[Hashtags Used],'Task 4'!A10,Table10_1[Engagement Rate])</f>
        <v>0.11481753670769271</v>
      </c>
    </row>
    <row r="12" spans="1:7" ht="15.75" x14ac:dyDescent="0.25">
      <c r="A12" s="69" t="s">
        <v>484</v>
      </c>
      <c r="B12" s="69"/>
    </row>
    <row r="13" spans="1:7" x14ac:dyDescent="0.25">
      <c r="A13" s="6" t="s">
        <v>3</v>
      </c>
      <c r="B13" s="6" t="s">
        <v>433</v>
      </c>
      <c r="C13" s="6" t="s">
        <v>434</v>
      </c>
      <c r="D13" s="6" t="s">
        <v>431</v>
      </c>
      <c r="E13" s="6" t="s">
        <v>435</v>
      </c>
      <c r="F13" s="6" t="s">
        <v>436</v>
      </c>
      <c r="G13" s="6" t="s">
        <v>399</v>
      </c>
    </row>
    <row r="14" spans="1:7" x14ac:dyDescent="0.25">
      <c r="A14" s="35" t="s">
        <v>31</v>
      </c>
      <c r="B14" s="35">
        <f>COUNTIF(Posts!D2:D301,'Task 4'!A14)</f>
        <v>46</v>
      </c>
      <c r="C14" s="11">
        <f>AVERAGEIF(Posts!D2:D301,'Task 4'!A14,Posts!F2:F301)</f>
        <v>2706.2608695652175</v>
      </c>
      <c r="D14" s="11">
        <f>AVERAGEIF(Posts!D2:D301,'Task 4'!A14,Posts!G2:G301)</f>
        <v>520.76086956521738</v>
      </c>
      <c r="E14" s="11">
        <f>AVERAGEIF(Posts!D2:D301,'Task 4'!A14,Posts!H2:H301)</f>
        <v>263.19565217391306</v>
      </c>
      <c r="F14" s="11">
        <f>AVERAGEIF(Posts!D2:D301,'Task 4'!A14,Posts!I2:I301)</f>
        <v>32188.17391304348</v>
      </c>
      <c r="G14" s="57">
        <f>AVERAGEIF(Table10_1[Content Type],'Task 4'!A14,Table10_1[Engagement Rate])</f>
        <v>0.18023669224095737</v>
      </c>
    </row>
    <row r="15" spans="1:7" x14ac:dyDescent="0.25">
      <c r="A15" s="35" t="s">
        <v>15</v>
      </c>
      <c r="B15" s="35">
        <f>COUNTIF(Posts!D3:D302,'Task 4'!A15)</f>
        <v>46</v>
      </c>
      <c r="C15" s="11">
        <f>AVERAGEIF(Posts!D3:D302,'Task 4'!A15,Posts!F3:F302)</f>
        <v>2749.6521739130435</v>
      </c>
      <c r="D15" s="11">
        <f>AVERAGEIF(Posts!D3:D302,'Task 4'!A15,Posts!G3:G302)</f>
        <v>500.36956521739131</v>
      </c>
      <c r="E15" s="11">
        <f>AVERAGEIF(Posts!D3:D302,'Task 4'!A15,Posts!H3:H302)</f>
        <v>238.60869565217391</v>
      </c>
      <c r="F15" s="11">
        <f>AVERAGEIF(Posts!D3:D302,'Task 4'!A15,Posts!I3:I302)</f>
        <v>35518.934782608696</v>
      </c>
      <c r="G15" s="57">
        <f>AVERAGEIF(Table10_1[Content Type],'Task 4'!A15,Table10_1[Engagement Rate])</f>
        <v>0.15209713454460921</v>
      </c>
    </row>
    <row r="16" spans="1:7" x14ac:dyDescent="0.25">
      <c r="A16" t="s">
        <v>39</v>
      </c>
      <c r="B16">
        <f>COUNTIF(Posts!D4:D303,'Task 4'!A16)</f>
        <v>59</v>
      </c>
      <c r="C16" s="8">
        <f>AVERAGEIF(Posts!D4:D303,'Task 4'!A16,Posts!F4:F303)</f>
        <v>2745.7457627118642</v>
      </c>
      <c r="D16" s="8">
        <f>AVERAGEIF(Posts!D4:D303,'Task 4'!A16,Posts!G4:G303)</f>
        <v>448.66101694915255</v>
      </c>
      <c r="E16" s="8">
        <f>AVERAGEIF(Posts!D4:D303,'Task 4'!A16,Posts!H4:H303)</f>
        <v>245.89830508474577</v>
      </c>
      <c r="F16" s="8">
        <f>AVERAGEIF(Posts!D4:D303,'Task 4'!A16,Posts!I4:I303)</f>
        <v>35842.932203389828</v>
      </c>
      <c r="G16" s="37">
        <f>AVERAGEIF(Table10_1[Content Type],'Task 4'!A16,Table10_1[Engagement Rate])</f>
        <v>0.14726325711841348</v>
      </c>
    </row>
    <row r="17" spans="1:8" x14ac:dyDescent="0.25">
      <c r="A17" t="s">
        <v>59</v>
      </c>
      <c r="B17">
        <f>COUNTIF(Posts!D5:D304,'Task 4'!A17)</f>
        <v>43</v>
      </c>
      <c r="C17" s="8">
        <f>AVERAGEIF(Posts!D5:D304,'Task 4'!A17,Posts!F5:F304)</f>
        <v>2688.2558139534885</v>
      </c>
      <c r="D17" s="8">
        <f>AVERAGEIF(Posts!D5:D304,'Task 4'!A17,Posts!G5:G304)</f>
        <v>488.25581395348837</v>
      </c>
      <c r="E17" s="8">
        <f>AVERAGEIF(Posts!D5:D304,'Task 4'!A17,Posts!H5:H304)</f>
        <v>239.04651162790697</v>
      </c>
      <c r="F17" s="8">
        <f>AVERAGEIF(Posts!D5:D304,'Task 4'!A17,Posts!I5:I304)</f>
        <v>32611.093023255813</v>
      </c>
      <c r="G17" s="37">
        <f>AVERAGEIF(Table10_1[Content Type],'Task 4'!A17,Table10_1[Engagement Rate])</f>
        <v>0.14098986670477595</v>
      </c>
    </row>
    <row r="18" spans="1:8" x14ac:dyDescent="0.25">
      <c r="A18" t="s">
        <v>44</v>
      </c>
      <c r="B18">
        <f>COUNTIF(Posts!D6:D305,'Task 4'!A18)</f>
        <v>63</v>
      </c>
      <c r="C18" s="8">
        <f>AVERAGEIF(Posts!D6:D305,'Task 4'!A18,Posts!F6:F305)</f>
        <v>2753.4603174603176</v>
      </c>
      <c r="D18" s="8">
        <f>AVERAGEIF(Posts!D6:D305,'Task 4'!A18,Posts!G6:G305)</f>
        <v>470</v>
      </c>
      <c r="E18" s="8">
        <f>AVERAGEIF(Posts!D6:D305,'Task 4'!A18,Posts!H6:H305)</f>
        <v>259.55555555555554</v>
      </c>
      <c r="F18" s="8">
        <f>AVERAGEIF(Posts!D6:D305,'Task 4'!A18,Posts!I6:I305)</f>
        <v>35876.873015873018</v>
      </c>
      <c r="G18" s="37">
        <f>AVERAGEIF(Table10_1[Content Type],'Task 4'!A18,Table10_1[Engagement Rate])</f>
        <v>0.13320104781588207</v>
      </c>
    </row>
    <row r="19" spans="1:8" x14ac:dyDescent="0.25">
      <c r="A19" t="s">
        <v>20</v>
      </c>
      <c r="B19">
        <f>COUNTIF(Posts!D7:D306,'Task 4'!A19)</f>
        <v>41</v>
      </c>
      <c r="C19" s="8">
        <f>AVERAGEIF(Posts!D7:D306,'Task 4'!A19,Posts!F7:F306)</f>
        <v>2742.4878048780488</v>
      </c>
      <c r="D19" s="8">
        <f>AVERAGEIF(Posts!D7:D306,'Task 4'!A19,Posts!G7:G306)</f>
        <v>446.4390243902439</v>
      </c>
      <c r="E19" s="8">
        <f>AVERAGEIF(Posts!D7:D306,'Task 4'!A19,Posts!H7:H306)</f>
        <v>238.82926829268294</v>
      </c>
      <c r="F19" s="8">
        <f>AVERAGEIF(Posts!D7:D306,'Task 4'!A19,Posts!I7:I306)</f>
        <v>34526.682926829271</v>
      </c>
      <c r="G19" s="37">
        <f>AVERAGEIF(Table10_1[Content Type],'Task 4'!A19,Table10_1[Engagement Rate])</f>
        <v>0.11693453501108982</v>
      </c>
    </row>
    <row r="22" spans="1:8" x14ac:dyDescent="0.25">
      <c r="A22" s="6"/>
      <c r="B22" s="6"/>
      <c r="C22" s="6"/>
      <c r="D22" s="6"/>
    </row>
    <row r="23" spans="1:8" x14ac:dyDescent="0.25">
      <c r="C23" s="37"/>
    </row>
    <row r="24" spans="1:8" x14ac:dyDescent="0.25">
      <c r="C24" s="37"/>
    </row>
    <row r="25" spans="1:8" x14ac:dyDescent="0.25">
      <c r="C25" s="37"/>
    </row>
    <row r="26" spans="1:8" x14ac:dyDescent="0.25">
      <c r="C26" s="37"/>
    </row>
    <row r="27" spans="1:8" ht="15.75" x14ac:dyDescent="0.25">
      <c r="A27" s="69" t="s">
        <v>485</v>
      </c>
      <c r="B27" s="69"/>
      <c r="E27" s="69" t="s">
        <v>486</v>
      </c>
      <c r="F27" s="70"/>
      <c r="G27" s="70"/>
      <c r="H27" s="70"/>
    </row>
    <row r="28" spans="1:8" x14ac:dyDescent="0.25">
      <c r="A28" s="12" t="s">
        <v>411</v>
      </c>
      <c r="B28" t="s">
        <v>438</v>
      </c>
      <c r="C28" t="s">
        <v>439</v>
      </c>
      <c r="E28" s="12" t="s">
        <v>1</v>
      </c>
      <c r="F28" s="12" t="s">
        <v>3</v>
      </c>
      <c r="G28" t="s">
        <v>438</v>
      </c>
      <c r="H28" t="s">
        <v>439</v>
      </c>
    </row>
    <row r="29" spans="1:8" x14ac:dyDescent="0.25">
      <c r="A29" s="19" t="s">
        <v>38</v>
      </c>
      <c r="B29" s="37">
        <v>0.12094203382654929</v>
      </c>
      <c r="C29">
        <v>93</v>
      </c>
      <c r="E29" t="s">
        <v>38</v>
      </c>
      <c r="F29" t="s">
        <v>39</v>
      </c>
      <c r="G29" s="37">
        <v>0.11820589815604367</v>
      </c>
      <c r="H29">
        <v>14</v>
      </c>
    </row>
    <row r="30" spans="1:8" x14ac:dyDescent="0.25">
      <c r="A30" s="47" t="s">
        <v>39</v>
      </c>
      <c r="B30" s="37">
        <v>0.11820589815604367</v>
      </c>
      <c r="C30">
        <v>14</v>
      </c>
      <c r="F30" t="s">
        <v>44</v>
      </c>
      <c r="G30" s="37">
        <v>0.11745424528332371</v>
      </c>
      <c r="H30">
        <v>28</v>
      </c>
    </row>
    <row r="31" spans="1:8" x14ac:dyDescent="0.25">
      <c r="A31" s="47" t="s">
        <v>44</v>
      </c>
      <c r="B31" s="37">
        <v>0.11745424528332371</v>
      </c>
      <c r="C31">
        <v>28</v>
      </c>
      <c r="F31" t="s">
        <v>15</v>
      </c>
      <c r="G31" s="37">
        <v>0.10986859810690117</v>
      </c>
      <c r="H31">
        <v>14</v>
      </c>
    </row>
    <row r="32" spans="1:8" x14ac:dyDescent="0.25">
      <c r="A32" s="47" t="s">
        <v>15</v>
      </c>
      <c r="B32" s="37">
        <v>0.10986859810690117</v>
      </c>
      <c r="C32">
        <v>14</v>
      </c>
      <c r="F32" t="s">
        <v>31</v>
      </c>
      <c r="G32" s="37">
        <v>0.15898977777988452</v>
      </c>
      <c r="H32">
        <v>11</v>
      </c>
    </row>
    <row r="33" spans="1:8" x14ac:dyDescent="0.25">
      <c r="A33" s="47" t="s">
        <v>31</v>
      </c>
      <c r="B33" s="37">
        <v>0.15898977777988452</v>
      </c>
      <c r="C33">
        <v>11</v>
      </c>
      <c r="F33" t="s">
        <v>59</v>
      </c>
      <c r="G33" s="37">
        <v>0.12378368203470033</v>
      </c>
      <c r="H33">
        <v>10</v>
      </c>
    </row>
    <row r="34" spans="1:8" x14ac:dyDescent="0.25">
      <c r="A34" s="47" t="s">
        <v>20</v>
      </c>
      <c r="B34" s="37">
        <v>0.11119518464556616</v>
      </c>
      <c r="C34">
        <v>16</v>
      </c>
      <c r="E34" t="s">
        <v>440</v>
      </c>
      <c r="G34" s="37">
        <v>0.12296735313688346</v>
      </c>
      <c r="H34">
        <v>77</v>
      </c>
    </row>
    <row r="35" spans="1:8" x14ac:dyDescent="0.25">
      <c r="A35" s="47" t="s">
        <v>59</v>
      </c>
      <c r="B35" s="37">
        <v>0.12378368203470033</v>
      </c>
      <c r="C35">
        <v>10</v>
      </c>
      <c r="E35" t="s">
        <v>30</v>
      </c>
      <c r="F35" t="s">
        <v>39</v>
      </c>
      <c r="G35" s="37">
        <v>0.14358583471485059</v>
      </c>
      <c r="H35">
        <v>19</v>
      </c>
    </row>
    <row r="36" spans="1:8" x14ac:dyDescent="0.25">
      <c r="A36" s="19" t="s">
        <v>30</v>
      </c>
      <c r="B36" s="37">
        <v>0.18531784517185629</v>
      </c>
      <c r="C36">
        <v>88</v>
      </c>
      <c r="F36" t="s">
        <v>44</v>
      </c>
      <c r="G36" s="37">
        <v>0.1347559439447894</v>
      </c>
      <c r="H36">
        <v>13</v>
      </c>
    </row>
    <row r="37" spans="1:8" x14ac:dyDescent="0.25">
      <c r="A37" s="47" t="s">
        <v>39</v>
      </c>
      <c r="B37" s="37">
        <v>0.14358583471485059</v>
      </c>
      <c r="C37">
        <v>19</v>
      </c>
      <c r="F37" t="s">
        <v>15</v>
      </c>
      <c r="G37" s="37">
        <v>0.26004033206333965</v>
      </c>
      <c r="H37">
        <v>13</v>
      </c>
    </row>
    <row r="38" spans="1:8" x14ac:dyDescent="0.25">
      <c r="A38" s="47" t="s">
        <v>44</v>
      </c>
      <c r="B38" s="37">
        <v>0.1347559439447894</v>
      </c>
      <c r="C38">
        <v>13</v>
      </c>
      <c r="F38" t="s">
        <v>31</v>
      </c>
      <c r="G38" s="37">
        <v>0.22896900915543306</v>
      </c>
      <c r="H38">
        <v>19</v>
      </c>
    </row>
    <row r="39" spans="1:8" x14ac:dyDescent="0.25">
      <c r="A39" s="47" t="s">
        <v>15</v>
      </c>
      <c r="B39" s="37">
        <v>0.26004033206333965</v>
      </c>
      <c r="C39">
        <v>13</v>
      </c>
      <c r="F39" t="s">
        <v>59</v>
      </c>
      <c r="G39" s="37">
        <v>0.20035941736166221</v>
      </c>
      <c r="H39">
        <v>14</v>
      </c>
    </row>
    <row r="40" spans="1:8" x14ac:dyDescent="0.25">
      <c r="A40" s="47" t="s">
        <v>31</v>
      </c>
      <c r="B40" s="37">
        <v>0.22896900915543306</v>
      </c>
      <c r="C40">
        <v>19</v>
      </c>
      <c r="E40" t="s">
        <v>441</v>
      </c>
      <c r="G40" s="37">
        <v>0.19251186493210687</v>
      </c>
      <c r="H40">
        <v>78</v>
      </c>
    </row>
    <row r="41" spans="1:8" x14ac:dyDescent="0.25">
      <c r="A41" s="47" t="s">
        <v>20</v>
      </c>
      <c r="B41" s="37">
        <v>0.12920449104190176</v>
      </c>
      <c r="C41">
        <v>10</v>
      </c>
      <c r="E41" t="s">
        <v>14</v>
      </c>
      <c r="F41" t="s">
        <v>39</v>
      </c>
      <c r="G41" s="37">
        <v>0.14537054868993235</v>
      </c>
      <c r="H41">
        <v>22</v>
      </c>
    </row>
    <row r="42" spans="1:8" x14ac:dyDescent="0.25">
      <c r="A42" s="47" t="s">
        <v>59</v>
      </c>
      <c r="B42" s="37">
        <v>0.20035941736166224</v>
      </c>
      <c r="C42">
        <v>14</v>
      </c>
      <c r="F42" t="s">
        <v>44</v>
      </c>
      <c r="G42" s="37">
        <v>0.14530582715944351</v>
      </c>
      <c r="H42">
        <v>22</v>
      </c>
    </row>
    <row r="43" spans="1:8" x14ac:dyDescent="0.25">
      <c r="A43" s="19" t="s">
        <v>14</v>
      </c>
      <c r="B43" s="37">
        <v>0.13739368723551609</v>
      </c>
      <c r="C43">
        <v>92</v>
      </c>
      <c r="F43" t="s">
        <v>15</v>
      </c>
      <c r="G43" s="37">
        <v>0.1214873938525412</v>
      </c>
      <c r="H43">
        <v>12</v>
      </c>
    </row>
    <row r="44" spans="1:8" x14ac:dyDescent="0.25">
      <c r="A44" s="47" t="s">
        <v>39</v>
      </c>
      <c r="B44" s="37">
        <v>0.14537054868993238</v>
      </c>
      <c r="C44">
        <v>22</v>
      </c>
      <c r="F44" t="s">
        <v>31</v>
      </c>
      <c r="G44" s="37">
        <v>0.18859716943319416</v>
      </c>
      <c r="H44">
        <v>9</v>
      </c>
    </row>
    <row r="45" spans="1:8" x14ac:dyDescent="0.25">
      <c r="A45" s="47" t="s">
        <v>44</v>
      </c>
      <c r="B45" s="37">
        <v>0.14530582715944351</v>
      </c>
      <c r="C45">
        <v>22</v>
      </c>
      <c r="F45" t="s">
        <v>59</v>
      </c>
      <c r="G45" s="37">
        <v>0.11228206701664242</v>
      </c>
      <c r="H45">
        <v>15</v>
      </c>
    </row>
    <row r="46" spans="1:8" x14ac:dyDescent="0.25">
      <c r="A46" s="47" t="s">
        <v>15</v>
      </c>
      <c r="B46" s="37">
        <v>0.12148739385254119</v>
      </c>
      <c r="C46">
        <v>12</v>
      </c>
      <c r="E46" t="s">
        <v>442</v>
      </c>
      <c r="G46" s="37">
        <v>0.14042918156331424</v>
      </c>
      <c r="H46">
        <v>80</v>
      </c>
    </row>
    <row r="47" spans="1:8" x14ac:dyDescent="0.25">
      <c r="A47" s="47" t="s">
        <v>31</v>
      </c>
      <c r="B47" s="37">
        <v>0.18859716943319416</v>
      </c>
      <c r="C47">
        <v>9</v>
      </c>
      <c r="E47" t="s">
        <v>25</v>
      </c>
      <c r="F47" t="s">
        <v>39</v>
      </c>
      <c r="G47" s="37">
        <v>0.1904560601657018</v>
      </c>
      <c r="H47">
        <v>12</v>
      </c>
    </row>
    <row r="48" spans="1:8" x14ac:dyDescent="0.25">
      <c r="A48" s="47" t="s">
        <v>20</v>
      </c>
      <c r="B48" s="37">
        <v>0.11715705838352779</v>
      </c>
      <c r="C48">
        <v>12</v>
      </c>
      <c r="F48" t="s">
        <v>44</v>
      </c>
      <c r="G48" s="37">
        <v>0.15035567844671383</v>
      </c>
      <c r="H48">
        <v>9</v>
      </c>
    </row>
    <row r="49" spans="1:8" x14ac:dyDescent="0.25">
      <c r="A49" s="47" t="s">
        <v>59</v>
      </c>
      <c r="B49" s="37">
        <v>0.11228206701664242</v>
      </c>
      <c r="C49">
        <v>15</v>
      </c>
      <c r="F49" t="s">
        <v>15</v>
      </c>
      <c r="G49" s="37">
        <v>0.12032962245098325</v>
      </c>
      <c r="H49">
        <v>14</v>
      </c>
    </row>
    <row r="50" spans="1:8" x14ac:dyDescent="0.25">
      <c r="A50" s="19" t="s">
        <v>25</v>
      </c>
      <c r="B50" s="37">
        <v>0.13298735096853667</v>
      </c>
      <c r="C50">
        <v>66</v>
      </c>
      <c r="F50" t="s">
        <v>31</v>
      </c>
      <c r="G50" s="37">
        <v>9.4965330348360799E-2</v>
      </c>
      <c r="H50">
        <v>9</v>
      </c>
    </row>
    <row r="51" spans="1:8" x14ac:dyDescent="0.25">
      <c r="A51" s="47" t="s">
        <v>39</v>
      </c>
      <c r="B51" s="37">
        <v>0.1904560601657018</v>
      </c>
      <c r="C51">
        <v>12</v>
      </c>
      <c r="F51" t="s">
        <v>59</v>
      </c>
      <c r="G51" s="37">
        <v>0.1219486277736385</v>
      </c>
      <c r="H51">
        <v>12</v>
      </c>
    </row>
    <row r="52" spans="1:8" x14ac:dyDescent="0.25">
      <c r="A52" s="47" t="s">
        <v>44</v>
      </c>
      <c r="B52" s="37">
        <v>0.15035567844671383</v>
      </c>
      <c r="C52">
        <v>9</v>
      </c>
      <c r="E52" t="s">
        <v>443</v>
      </c>
      <c r="G52" s="37">
        <v>0.13645285801324142</v>
      </c>
      <c r="H52">
        <v>56</v>
      </c>
    </row>
    <row r="53" spans="1:8" x14ac:dyDescent="0.25">
      <c r="A53" s="47" t="s">
        <v>15</v>
      </c>
      <c r="B53" s="37">
        <v>0.12032962245098325</v>
      </c>
      <c r="C53">
        <v>14</v>
      </c>
      <c r="E53" t="s">
        <v>400</v>
      </c>
      <c r="G53" s="37">
        <v>0.14900380147783862</v>
      </c>
      <c r="H53">
        <v>291</v>
      </c>
    </row>
    <row r="54" spans="1:8" x14ac:dyDescent="0.25">
      <c r="A54" s="47" t="s">
        <v>31</v>
      </c>
      <c r="B54" s="37">
        <v>9.4965330348360799E-2</v>
      </c>
      <c r="C54">
        <v>9</v>
      </c>
    </row>
    <row r="55" spans="1:8" x14ac:dyDescent="0.25">
      <c r="A55" s="47" t="s">
        <v>20</v>
      </c>
      <c r="B55" s="37">
        <v>0.11358051151819019</v>
      </c>
      <c r="C55">
        <v>10</v>
      </c>
    </row>
    <row r="56" spans="1:8" x14ac:dyDescent="0.25">
      <c r="A56" s="47" t="s">
        <v>59</v>
      </c>
      <c r="B56" s="37">
        <v>0.12194862777363848</v>
      </c>
      <c r="C56">
        <v>12</v>
      </c>
    </row>
    <row r="57" spans="1:8" x14ac:dyDescent="0.25">
      <c r="A57" s="19" t="s">
        <v>400</v>
      </c>
      <c r="B57" s="37">
        <v>0.14446302038520162</v>
      </c>
      <c r="C57">
        <v>339</v>
      </c>
    </row>
  </sheetData>
  <autoFilter ref="A13:G19" xr:uid="{02A75DE2-8939-4FFD-9070-7F96A877EE01}"/>
  <mergeCells count="4">
    <mergeCell ref="A3:B3"/>
    <mergeCell ref="A12:B12"/>
    <mergeCell ref="A27:B27"/>
    <mergeCell ref="E27:H27"/>
  </mergeCells>
  <pageMargins left="0.7" right="0.7" top="0.75" bottom="0.75" header="0.3" footer="0.3"/>
  <ignoredErrors>
    <ignoredError sqref="D15:D19 C15:C19 E15:F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A8ED-FFD4-473E-B802-08E3D5AFC162}">
  <dimension ref="A1:L34"/>
  <sheetViews>
    <sheetView workbookViewId="0">
      <selection activeCell="C22" sqref="C22"/>
    </sheetView>
  </sheetViews>
  <sheetFormatPr defaultRowHeight="15" x14ac:dyDescent="0.25"/>
  <cols>
    <col min="1" max="1" width="30.42578125" customWidth="1"/>
    <col min="2" max="3" width="24" customWidth="1"/>
    <col min="4" max="4" width="22.5703125" customWidth="1"/>
    <col min="5" max="5" width="22.85546875" customWidth="1"/>
    <col min="6" max="6" width="21" customWidth="1"/>
    <col min="7" max="7" width="23.5703125" customWidth="1"/>
    <col min="8" max="8" width="18.7109375" customWidth="1"/>
    <col min="9" max="9" width="14.42578125" customWidth="1"/>
    <col min="10" max="10" width="24.7109375" customWidth="1"/>
    <col min="11" max="11" width="11.28515625" customWidth="1"/>
  </cols>
  <sheetData>
    <row r="1" spans="1:12" ht="21" x14ac:dyDescent="0.35">
      <c r="A1" s="58" t="s">
        <v>469</v>
      </c>
      <c r="B1" s="58"/>
      <c r="C1" s="58"/>
      <c r="D1" s="7"/>
    </row>
    <row r="2" spans="1:12" ht="15.75" x14ac:dyDescent="0.25">
      <c r="A2" s="59" t="s">
        <v>444</v>
      </c>
      <c r="B2" s="59"/>
      <c r="C2" s="59"/>
      <c r="D2" s="59"/>
    </row>
    <row r="3" spans="1:12" x14ac:dyDescent="0.25">
      <c r="A3" s="1" t="s">
        <v>12</v>
      </c>
      <c r="B3" s="6" t="s">
        <v>445</v>
      </c>
      <c r="C3" s="6" t="s">
        <v>446</v>
      </c>
      <c r="D3" s="6" t="s">
        <v>447</v>
      </c>
      <c r="E3" s="6" t="s">
        <v>432</v>
      </c>
      <c r="F3" s="6" t="s">
        <v>448</v>
      </c>
      <c r="G3" s="6" t="s">
        <v>434</v>
      </c>
      <c r="H3" s="6" t="s">
        <v>449</v>
      </c>
      <c r="I3" s="6" t="s">
        <v>450</v>
      </c>
      <c r="J3" s="6" t="s">
        <v>399</v>
      </c>
      <c r="K3" s="6" t="s">
        <v>451</v>
      </c>
      <c r="L3" s="6"/>
    </row>
    <row r="4" spans="1:12" x14ac:dyDescent="0.25">
      <c r="A4" s="2" t="s">
        <v>18</v>
      </c>
      <c r="B4">
        <f>COUNTIFS(Posts!M2:M301,'Task 5'!A4)</f>
        <v>48</v>
      </c>
      <c r="C4">
        <v>150000</v>
      </c>
      <c r="D4">
        <f>SUMIF(Posts!M2:M301,'Task 5'!A4,Posts!I2:I301)</f>
        <v>1846272</v>
      </c>
      <c r="E4">
        <f>AVERAGEIF(Posts!M2:M301,'Task 5'!A4,Posts!I2:I301)</f>
        <v>38464</v>
      </c>
      <c r="F4">
        <f>SUMIF(Posts!M2:M301,'Task 5'!A4,Posts!F2:F301)</f>
        <v>138793</v>
      </c>
      <c r="G4" s="51">
        <f>AVERAGEIF(Posts!M2:M301,'Task 5'!A4,Posts!F2:F301)</f>
        <v>2891.5208333333335</v>
      </c>
      <c r="H4">
        <f>SUMIF(Posts!M2:M301,'Task 5'!A4,Posts!K2:K301)</f>
        <v>6434</v>
      </c>
      <c r="I4" s="51">
        <f>AVERAGEIF(Posts!M2:M301,'Task 5'!A4,Posts!K2:K301)</f>
        <v>134.04166666666666</v>
      </c>
      <c r="J4" s="37">
        <f>AVERAGEIF(Table10_1[Campaign_Name],'Task 5'!A4,Table10_1[Engagement Rate])</f>
        <v>0.12527056431291012</v>
      </c>
      <c r="K4" s="8">
        <f>D4/C4</f>
        <v>12.308479999999999</v>
      </c>
    </row>
    <row r="5" spans="1:12" x14ac:dyDescent="0.25">
      <c r="A5" s="2" t="s">
        <v>23</v>
      </c>
      <c r="B5">
        <f>COUNTIFS(Posts!M3:M302,'Task 5'!A5)</f>
        <v>58</v>
      </c>
      <c r="C5">
        <v>200000</v>
      </c>
      <c r="D5">
        <f>SUMIF(Posts!M3:M302,'Task 5'!A5,Posts!I3:I302)</f>
        <v>1986356</v>
      </c>
      <c r="E5" s="51">
        <f>AVERAGEIF(Posts!M2:M301,A5,Posts!I2:I301)</f>
        <v>34247.517241379312</v>
      </c>
      <c r="F5">
        <f>SUMIF(Posts!M3:M302,'Task 5'!A5,Posts!F3:F302)</f>
        <v>159783</v>
      </c>
      <c r="G5" s="51">
        <f>AVERAGEIF(Posts!M3:M302,'Task 5'!A5,Posts!F3:F302)</f>
        <v>2754.8793103448274</v>
      </c>
      <c r="H5">
        <f>SUMIF(Posts!M3:M302,'Task 5'!A5,Posts!K3:K302)</f>
        <v>9872</v>
      </c>
      <c r="I5" s="51">
        <f>AVERAGEIF(Posts!M3:M302,'Task 5'!A5,Posts!K3:K302)</f>
        <v>170.20689655172413</v>
      </c>
      <c r="J5" s="37">
        <f>AVERAGEIF(Table10_1[Campaign_Name],'Task 5'!A5,Table10_1[Engagement Rate])</f>
        <v>0.13733131071642021</v>
      </c>
      <c r="K5" s="8">
        <f t="shared" ref="K5:K7" si="0">D5/C5</f>
        <v>9.9317799999999998</v>
      </c>
    </row>
    <row r="6" spans="1:12" x14ac:dyDescent="0.25">
      <c r="A6" s="2" t="s">
        <v>28</v>
      </c>
      <c r="B6">
        <f>COUNTIFS(Posts!M4:M303,'Task 5'!A6)</f>
        <v>67</v>
      </c>
      <c r="C6">
        <v>250000</v>
      </c>
      <c r="D6">
        <f>SUMIF(Posts!M4:M303,'Task 5'!A6,Posts!I4:I303)</f>
        <v>2266053</v>
      </c>
      <c r="E6" s="51">
        <f>AVERAGEIF(Posts!M3:M302,A6,Posts!I3:I302)</f>
        <v>33821.686567164179</v>
      </c>
      <c r="F6">
        <f>SUMIF(Posts!M4:M303,'Task 5'!A6,Posts!F4:F303)</f>
        <v>183346</v>
      </c>
      <c r="G6" s="51">
        <f>AVERAGEIF(Posts!M4:M303,'Task 5'!A6,Posts!F4:F303)</f>
        <v>2736.5074626865671</v>
      </c>
      <c r="H6">
        <f>SUMIF(Posts!M4:M303,'Task 5'!A6,Posts!K4:K303)</f>
        <v>10032</v>
      </c>
      <c r="I6" s="51">
        <f>AVERAGEIF(Posts!M4:M303,'Task 5'!A6,Posts!K4:K303)</f>
        <v>149.73134328358208</v>
      </c>
      <c r="J6" s="37">
        <f>AVERAGEIF(Table10_1[Campaign_Name],'Task 5'!A6,Table10_1[Engagement Rate])</f>
        <v>0.14000695153162113</v>
      </c>
      <c r="K6" s="8">
        <f t="shared" si="0"/>
        <v>9.0642119999999995</v>
      </c>
    </row>
    <row r="7" spans="1:12" x14ac:dyDescent="0.25">
      <c r="A7" s="10" t="s">
        <v>34</v>
      </c>
      <c r="B7" s="35">
        <f>COUNTIFS(Posts!M5:M304,'Task 5'!A7)</f>
        <v>71</v>
      </c>
      <c r="C7" s="35">
        <v>180000</v>
      </c>
      <c r="D7" s="35">
        <f>SUMIF(Posts!M5:M304,'Task 5'!A7,Posts!I5:I304)</f>
        <v>2464864</v>
      </c>
      <c r="E7" s="71">
        <f>AVERAGEIF(Posts!M4:M303,A7,Posts!I4:I303)</f>
        <v>34716.394366197186</v>
      </c>
      <c r="F7" s="35">
        <f>SUMIF(Posts!M5:M304,'Task 5'!A7,Posts!F5:F304)</f>
        <v>187909</v>
      </c>
      <c r="G7" s="71">
        <f>AVERAGEIF(Posts!M5:M304,'Task 5'!A7,Posts!F5:F304)</f>
        <v>2646.605633802817</v>
      </c>
      <c r="H7" s="35">
        <f>SUMIF(Posts!M5:M304,'Task 5'!A7,Posts!K5:K304)</f>
        <v>10689</v>
      </c>
      <c r="I7" s="71">
        <f>AVERAGEIF(Posts!M5:M304,'Task 5'!A7,Posts!K5:K304)</f>
        <v>150.54929577464787</v>
      </c>
      <c r="J7" s="57">
        <f>AVERAGEIF(Table10_1[Campaign_Name],'Task 5'!A7,Table10_1[Engagement Rate])</f>
        <v>0.14521463985886629</v>
      </c>
      <c r="K7" s="11">
        <f t="shared" si="0"/>
        <v>13.693688888888889</v>
      </c>
    </row>
    <row r="10" spans="1:12" x14ac:dyDescent="0.25">
      <c r="A10" s="52" t="s">
        <v>452</v>
      </c>
      <c r="B10" s="53" t="s">
        <v>457</v>
      </c>
      <c r="C10" s="6" t="s">
        <v>458</v>
      </c>
      <c r="D10" s="6" t="s">
        <v>453</v>
      </c>
      <c r="E10" s="6" t="s">
        <v>454</v>
      </c>
      <c r="F10" s="6" t="s">
        <v>455</v>
      </c>
      <c r="G10" s="6" t="s">
        <v>456</v>
      </c>
      <c r="H10" s="6" t="s">
        <v>459</v>
      </c>
      <c r="I10" s="6" t="s">
        <v>460</v>
      </c>
    </row>
    <row r="11" spans="1:12" x14ac:dyDescent="0.25">
      <c r="A11" s="2" t="s">
        <v>18</v>
      </c>
      <c r="B11" s="17">
        <v>45458</v>
      </c>
      <c r="C11" s="17">
        <v>45488</v>
      </c>
      <c r="D11">
        <f>COUNTIFS(Posts!C2:C301,"&lt;"&amp;'Task 5'!B11)</f>
        <v>17</v>
      </c>
      <c r="E11">
        <f>COUNTIFS(Posts!C2:C301,"&gt;="&amp;'Task 5'!B11,Posts!C2:C301,"&lt;="&amp;'Task 5'!C11)</f>
        <v>27</v>
      </c>
      <c r="F11" s="37">
        <f>AVERAGEIFS(Posts!N2:N301,Posts!C2:C301,"&lt;"&amp;'Task 5'!B11,Posts!M2:M301,'Task 5'!A11)</f>
        <v>0.18256403002695071</v>
      </c>
      <c r="G11" s="37">
        <f>AVERAGEIFS(Table10_1[Engagement Rate],Table10_1[Campaign_Name],'Task 5'!A11,Table10_1[Date],"&gt;="&amp;B11,Table10_1[Date],"&lt;="&amp;C11)</f>
        <v>7.5350276474912131E-2</v>
      </c>
      <c r="H11" s="37">
        <f>G11-F11</f>
        <v>-0.10721375355203858</v>
      </c>
      <c r="I11" s="37">
        <f>H11/F11</f>
        <v>-0.58726658003885723</v>
      </c>
    </row>
    <row r="12" spans="1:12" x14ac:dyDescent="0.25">
      <c r="A12" s="2" t="s">
        <v>23</v>
      </c>
      <c r="B12" s="17">
        <v>45566</v>
      </c>
      <c r="C12" s="17">
        <v>45596</v>
      </c>
      <c r="D12">
        <f>COUNTIFS(Posts!C3:C302,"&lt;"&amp;'Task 5'!B12)</f>
        <v>104</v>
      </c>
      <c r="E12">
        <f>COUNTIFS(Posts!C3:C302,"&gt;="&amp;'Task 5'!B12,Posts!C3:C302,"&lt;="&amp;'Task 5'!C12)</f>
        <v>35</v>
      </c>
      <c r="F12" s="37">
        <f>AVERAGEIFS(Posts!N3:N302,Posts!C3:C302,"&lt;"&amp;'Task 5'!B12,Posts!M3:M302,'Task 5'!A12)</f>
        <v>0.12623971500174036</v>
      </c>
      <c r="G12" s="37">
        <f>AVERAGEIFS(Table10_1[Engagement Rate],Table10_1[Campaign_Name],'Task 5'!A12,Table10_1[Date],"&gt;="&amp;B12,Table10_1[Date],"&lt;="&amp;C12)</f>
        <v>0.15063544700706727</v>
      </c>
      <c r="H12" s="37">
        <f t="shared" ref="H12:H14" si="1">G12-F12</f>
        <v>2.4395732005326909E-2</v>
      </c>
      <c r="I12" s="37">
        <f t="shared" ref="I12:I14" si="2">H12/F12</f>
        <v>0.19324926394986383</v>
      </c>
    </row>
    <row r="13" spans="1:12" x14ac:dyDescent="0.25">
      <c r="A13" s="10" t="s">
        <v>28</v>
      </c>
      <c r="B13" s="56">
        <v>45651</v>
      </c>
      <c r="C13" s="56">
        <v>45667</v>
      </c>
      <c r="D13" s="35">
        <f>COUNTIFS(Posts!C4:C303,"&lt;"&amp;'Task 5'!B13)</f>
        <v>187</v>
      </c>
      <c r="E13" s="35">
        <f>COUNTIFS(Posts!C4:C303,"&gt;="&amp;'Task 5'!B13,Posts!C4:C303,"&lt;="&amp;'Task 5'!C13)</f>
        <v>10</v>
      </c>
      <c r="F13" s="57">
        <f>AVERAGEIFS(Posts!N4:N303,Posts!C4:C303,"&lt;"&amp;'Task 5'!B13,Posts!M4:M303,'Task 5'!A13)</f>
        <v>0.1474176006033876</v>
      </c>
      <c r="G13" s="57">
        <f>AVERAGEIFS(Table10_1[Engagement Rate],Table10_1[Campaign_Name],'Task 5'!A13,Table10_1[Date],"&gt;="&amp;B13,Table10_1[Date],"&lt;="&amp;C13)</f>
        <v>0.19036825680849678</v>
      </c>
      <c r="H13" s="57">
        <f t="shared" si="1"/>
        <v>4.2950656205109183E-2</v>
      </c>
      <c r="I13" s="57">
        <f t="shared" si="2"/>
        <v>0.2913536513232477</v>
      </c>
    </row>
    <row r="14" spans="1:12" x14ac:dyDescent="0.25">
      <c r="A14" s="2" t="s">
        <v>34</v>
      </c>
      <c r="B14" s="17">
        <v>45717</v>
      </c>
      <c r="C14" s="17">
        <v>45747</v>
      </c>
      <c r="D14">
        <f>COUNTIFS(Posts!C5:C304,"&lt;"&amp;'Task 5'!B14)</f>
        <v>233</v>
      </c>
      <c r="E14">
        <f>COUNTIFS(Posts!C5:C304,"&gt;="&amp;'Task 5'!B14,Posts!C5:C304,"&lt;="&amp;'Task 5'!C14)</f>
        <v>32</v>
      </c>
      <c r="F14" s="37">
        <f>AVERAGEIFS(Posts!N5:N304,Posts!C5:C304,"&lt;"&amp;'Task 5'!B14,Posts!M5:M304,'Task 5'!A14)</f>
        <v>0.1375371426130354</v>
      </c>
      <c r="G14" s="37">
        <f>AVERAGEIFS(Table10_1[Engagement Rate],Table10_1[Campaign_Name],'Task 5'!A14,Table10_1[Date],"&gt;="&amp;B14,Table10_1[Date],"&lt;="&amp;C14)</f>
        <v>0.10884049000509631</v>
      </c>
      <c r="H14" s="37">
        <f t="shared" si="1"/>
        <v>-2.8696652607939091E-2</v>
      </c>
      <c r="I14" s="37">
        <f t="shared" si="2"/>
        <v>-0.20864656675817328</v>
      </c>
    </row>
    <row r="18" spans="1:3" ht="15.75" x14ac:dyDescent="0.25">
      <c r="A18" s="69" t="s">
        <v>487</v>
      </c>
      <c r="B18" s="69"/>
    </row>
    <row r="20" spans="1:3" x14ac:dyDescent="0.25">
      <c r="A20" s="73" t="s">
        <v>490</v>
      </c>
      <c r="B20" s="73" t="s">
        <v>445</v>
      </c>
      <c r="C20" s="73" t="s">
        <v>399</v>
      </c>
    </row>
    <row r="21" spans="1:3" x14ac:dyDescent="0.25">
      <c r="A21" s="73" t="s">
        <v>488</v>
      </c>
      <c r="B21" s="73">
        <f>COUNTIF(Posts!M2:M301,"&lt;&gt;")</f>
        <v>244</v>
      </c>
      <c r="C21" s="74">
        <f>AVERAGEIF(Posts!M2:M301,"&lt;&gt;",Posts!N2:N301)</f>
        <v>0.14278603774150367</v>
      </c>
    </row>
    <row r="22" spans="1:3" x14ac:dyDescent="0.25">
      <c r="A22" s="73" t="s">
        <v>489</v>
      </c>
      <c r="B22" s="73">
        <f>COUNTIF(Posts!M2:M301,"")</f>
        <v>56</v>
      </c>
      <c r="C22" s="74">
        <f>AVERAGEIF(Posts!M2:M301,"",Posts!N2:N301)</f>
        <v>0.1722325755469942</v>
      </c>
    </row>
    <row r="23" spans="1:3" x14ac:dyDescent="0.25">
      <c r="A23" s="73" t="s">
        <v>491</v>
      </c>
      <c r="B23" s="73">
        <f>SUM(B21,B22)</f>
        <v>300</v>
      </c>
      <c r="C23" s="73"/>
    </row>
    <row r="30" spans="1:3" x14ac:dyDescent="0.25">
      <c r="A30" s="6" t="s">
        <v>461</v>
      </c>
    </row>
    <row r="31" spans="1:3" x14ac:dyDescent="0.25">
      <c r="A31" s="72" t="s">
        <v>462</v>
      </c>
      <c r="B31" s="72"/>
    </row>
    <row r="32" spans="1:3" x14ac:dyDescent="0.25">
      <c r="A32" s="72" t="s">
        <v>463</v>
      </c>
      <c r="B32" s="72"/>
    </row>
    <row r="33" spans="1:2" x14ac:dyDescent="0.25">
      <c r="A33" s="72" t="s">
        <v>464</v>
      </c>
      <c r="B33" s="72"/>
    </row>
    <row r="34" spans="1:2" x14ac:dyDescent="0.25">
      <c r="A34" s="72" t="s">
        <v>465</v>
      </c>
      <c r="B34" s="72"/>
    </row>
  </sheetData>
  <mergeCells count="3">
    <mergeCell ref="A1:C1"/>
    <mergeCell ref="A2:D2"/>
    <mergeCell ref="A18:B18"/>
  </mergeCells>
  <pageMargins left="0.7" right="0.7" top="0.75" bottom="0.75" header="0.3" footer="0.3"/>
  <ignoredErrors>
    <ignoredError sqref="E6:E7 G5:I7 D12:F14" formulaRange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2689-5C5B-4642-B1DB-828E65FD9F67}">
  <dimension ref="A1:I1000"/>
  <sheetViews>
    <sheetView workbookViewId="0">
      <selection activeCell="D185" sqref="D185"/>
    </sheetView>
  </sheetViews>
  <sheetFormatPr defaultColWidth="14.42578125" defaultRowHeight="15" customHeight="1" x14ac:dyDescent="0.25"/>
  <cols>
    <col min="1" max="1" width="26.85546875" customWidth="1"/>
    <col min="2" max="2" width="18.42578125" customWidth="1"/>
    <col min="3" max="3" width="13.7109375" customWidth="1"/>
    <col min="4" max="4" width="15.7109375" customWidth="1"/>
    <col min="5" max="5" width="21.42578125" customWidth="1"/>
    <col min="6" max="6" width="20.85546875" customWidth="1"/>
    <col min="7" max="7" width="18.7109375" customWidth="1"/>
    <col min="8" max="8" width="18" customWidth="1"/>
    <col min="9" max="9" width="18.140625" customWidth="1"/>
    <col min="10" max="26" width="8.7109375" customWidth="1"/>
  </cols>
  <sheetData>
    <row r="1" spans="1:9" x14ac:dyDescent="0.25">
      <c r="A1" s="1" t="s">
        <v>369</v>
      </c>
      <c r="B1" s="1" t="s">
        <v>1</v>
      </c>
      <c r="C1" s="1" t="s">
        <v>370</v>
      </c>
      <c r="D1" s="1" t="s">
        <v>371</v>
      </c>
      <c r="E1" s="1" t="s">
        <v>472</v>
      </c>
      <c r="F1" s="1" t="s">
        <v>372</v>
      </c>
      <c r="G1" s="1" t="s">
        <v>373</v>
      </c>
      <c r="H1" s="1" t="s">
        <v>374</v>
      </c>
      <c r="I1" s="55" t="s">
        <v>473</v>
      </c>
    </row>
    <row r="2" spans="1:9" x14ac:dyDescent="0.25">
      <c r="A2" s="4">
        <v>45446</v>
      </c>
      <c r="B2" s="2" t="s">
        <v>30</v>
      </c>
      <c r="C2" s="2">
        <v>1135</v>
      </c>
      <c r="D2" s="2">
        <v>88</v>
      </c>
      <c r="E2" s="2">
        <f>C2-D2</f>
        <v>1047</v>
      </c>
      <c r="F2" s="2">
        <v>344084</v>
      </c>
      <c r="G2" s="2">
        <v>8.06</v>
      </c>
      <c r="H2" s="2">
        <v>5904</v>
      </c>
      <c r="I2">
        <f>AVERAGE(E2:E5)</f>
        <v>888.5</v>
      </c>
    </row>
    <row r="3" spans="1:9" x14ac:dyDescent="0.25">
      <c r="A3" s="4">
        <v>45446</v>
      </c>
      <c r="B3" s="2" t="s">
        <v>38</v>
      </c>
      <c r="C3" s="2">
        <v>1312</v>
      </c>
      <c r="D3" s="2">
        <v>310</v>
      </c>
      <c r="E3" s="2">
        <f t="shared" ref="E3:E66" si="0">C3-D3</f>
        <v>1002</v>
      </c>
      <c r="F3" s="2">
        <v>42654</v>
      </c>
      <c r="G3" s="2">
        <v>4.9800000000000004</v>
      </c>
      <c r="H3" s="2">
        <v>9566</v>
      </c>
      <c r="I3">
        <f t="shared" ref="I3:I66" si="1">AVERAGE(E3:E6)</f>
        <v>756</v>
      </c>
    </row>
    <row r="4" spans="1:9" x14ac:dyDescent="0.25">
      <c r="A4" s="4">
        <v>45446</v>
      </c>
      <c r="B4" s="2" t="s">
        <v>14</v>
      </c>
      <c r="C4" s="2">
        <v>584</v>
      </c>
      <c r="D4" s="2">
        <v>169</v>
      </c>
      <c r="E4" s="2">
        <f t="shared" si="0"/>
        <v>415</v>
      </c>
      <c r="F4" s="2">
        <v>146834</v>
      </c>
      <c r="G4" s="2">
        <v>8.31</v>
      </c>
      <c r="H4" s="2">
        <v>26752</v>
      </c>
      <c r="I4">
        <f t="shared" si="1"/>
        <v>826.25</v>
      </c>
    </row>
    <row r="5" spans="1:9" x14ac:dyDescent="0.25">
      <c r="A5" s="4">
        <v>45446</v>
      </c>
      <c r="B5" s="2" t="s">
        <v>25</v>
      </c>
      <c r="C5" s="2">
        <v>1535</v>
      </c>
      <c r="D5" s="2">
        <v>445</v>
      </c>
      <c r="E5" s="2">
        <f t="shared" si="0"/>
        <v>1090</v>
      </c>
      <c r="F5" s="2">
        <v>395536</v>
      </c>
      <c r="G5" s="2">
        <v>4.1100000000000003</v>
      </c>
      <c r="H5" s="2">
        <v>30671</v>
      </c>
      <c r="I5">
        <f t="shared" si="1"/>
        <v>769</v>
      </c>
    </row>
    <row r="6" spans="1:9" x14ac:dyDescent="0.25">
      <c r="A6" s="4">
        <v>45453</v>
      </c>
      <c r="B6" s="2" t="s">
        <v>30</v>
      </c>
      <c r="C6" s="2">
        <v>656</v>
      </c>
      <c r="D6" s="2">
        <v>139</v>
      </c>
      <c r="E6" s="2">
        <f t="shared" si="0"/>
        <v>517</v>
      </c>
      <c r="F6" s="2">
        <v>49157</v>
      </c>
      <c r="G6" s="2">
        <v>9.0500000000000007</v>
      </c>
      <c r="H6" s="2">
        <v>9920</v>
      </c>
      <c r="I6">
        <f t="shared" si="1"/>
        <v>745</v>
      </c>
    </row>
    <row r="7" spans="1:9" x14ac:dyDescent="0.25">
      <c r="A7" s="4">
        <v>45453</v>
      </c>
      <c r="B7" s="2" t="s">
        <v>38</v>
      </c>
      <c r="C7" s="2">
        <v>1697</v>
      </c>
      <c r="D7" s="2">
        <v>414</v>
      </c>
      <c r="E7" s="2">
        <f t="shared" si="0"/>
        <v>1283</v>
      </c>
      <c r="F7" s="2">
        <v>316555</v>
      </c>
      <c r="G7" s="2">
        <v>2.37</v>
      </c>
      <c r="H7" s="2">
        <v>7924</v>
      </c>
      <c r="I7">
        <f t="shared" si="1"/>
        <v>839</v>
      </c>
    </row>
    <row r="8" spans="1:9" x14ac:dyDescent="0.25">
      <c r="A8" s="4">
        <v>45453</v>
      </c>
      <c r="B8" s="2" t="s">
        <v>14</v>
      </c>
      <c r="C8" s="2">
        <v>436</v>
      </c>
      <c r="D8" s="2">
        <v>250</v>
      </c>
      <c r="E8" s="2">
        <f t="shared" si="0"/>
        <v>186</v>
      </c>
      <c r="F8" s="2">
        <v>254347</v>
      </c>
      <c r="G8" s="2">
        <v>4.01</v>
      </c>
      <c r="H8" s="2">
        <v>8912</v>
      </c>
      <c r="I8">
        <f t="shared" si="1"/>
        <v>863.75</v>
      </c>
    </row>
    <row r="9" spans="1:9" x14ac:dyDescent="0.25">
      <c r="A9" s="4">
        <v>45453</v>
      </c>
      <c r="B9" s="2" t="s">
        <v>25</v>
      </c>
      <c r="C9" s="2">
        <v>1197</v>
      </c>
      <c r="D9" s="2">
        <v>203</v>
      </c>
      <c r="E9" s="2">
        <f t="shared" si="0"/>
        <v>994</v>
      </c>
      <c r="F9" s="2">
        <v>413878</v>
      </c>
      <c r="G9" s="2">
        <v>3.16</v>
      </c>
      <c r="H9" s="2">
        <v>21205</v>
      </c>
      <c r="I9">
        <f t="shared" si="1"/>
        <v>1141</v>
      </c>
    </row>
    <row r="10" spans="1:9" x14ac:dyDescent="0.25">
      <c r="A10" s="4">
        <v>45460</v>
      </c>
      <c r="B10" s="2" t="s">
        <v>30</v>
      </c>
      <c r="C10" s="2">
        <v>1048</v>
      </c>
      <c r="D10" s="2">
        <v>155</v>
      </c>
      <c r="E10" s="2">
        <f t="shared" si="0"/>
        <v>893</v>
      </c>
      <c r="F10" s="2">
        <v>456946</v>
      </c>
      <c r="G10" s="2">
        <v>2.46</v>
      </c>
      <c r="H10" s="2">
        <v>11329</v>
      </c>
      <c r="I10">
        <f t="shared" si="1"/>
        <v>976.75</v>
      </c>
    </row>
    <row r="11" spans="1:9" x14ac:dyDescent="0.25">
      <c r="A11" s="4">
        <v>45460</v>
      </c>
      <c r="B11" s="2" t="s">
        <v>38</v>
      </c>
      <c r="C11" s="2">
        <v>1753</v>
      </c>
      <c r="D11" s="2">
        <v>371</v>
      </c>
      <c r="E11" s="2">
        <f t="shared" si="0"/>
        <v>1382</v>
      </c>
      <c r="F11" s="2">
        <v>169496</v>
      </c>
      <c r="G11" s="2">
        <v>8.11</v>
      </c>
      <c r="H11" s="2">
        <v>46670</v>
      </c>
      <c r="I11">
        <f t="shared" si="1"/>
        <v>910.75</v>
      </c>
    </row>
    <row r="12" spans="1:9" x14ac:dyDescent="0.25">
      <c r="A12" s="4">
        <v>45460</v>
      </c>
      <c r="B12" s="2" t="s">
        <v>14</v>
      </c>
      <c r="C12" s="2">
        <v>1335</v>
      </c>
      <c r="D12" s="2">
        <v>40</v>
      </c>
      <c r="E12" s="2">
        <f t="shared" si="0"/>
        <v>1295</v>
      </c>
      <c r="F12" s="2">
        <v>122732</v>
      </c>
      <c r="G12" s="2">
        <v>8.19</v>
      </c>
      <c r="H12" s="2">
        <v>22482</v>
      </c>
      <c r="I12">
        <f t="shared" si="1"/>
        <v>982.75</v>
      </c>
    </row>
    <row r="13" spans="1:9" x14ac:dyDescent="0.25">
      <c r="A13" s="4">
        <v>45460</v>
      </c>
      <c r="B13" s="2" t="s">
        <v>25</v>
      </c>
      <c r="C13" s="2">
        <v>403</v>
      </c>
      <c r="D13" s="2">
        <v>66</v>
      </c>
      <c r="E13" s="2">
        <f t="shared" si="0"/>
        <v>337</v>
      </c>
      <c r="F13" s="2">
        <v>382851</v>
      </c>
      <c r="G13" s="2">
        <v>3.49</v>
      </c>
      <c r="H13" s="2">
        <v>24313</v>
      </c>
      <c r="I13">
        <f t="shared" si="1"/>
        <v>867.75</v>
      </c>
    </row>
    <row r="14" spans="1:9" x14ac:dyDescent="0.25">
      <c r="A14" s="4">
        <v>45467</v>
      </c>
      <c r="B14" s="2" t="s">
        <v>30</v>
      </c>
      <c r="C14" s="2">
        <v>911</v>
      </c>
      <c r="D14" s="2">
        <v>282</v>
      </c>
      <c r="E14" s="2">
        <f t="shared" si="0"/>
        <v>629</v>
      </c>
      <c r="F14" s="2">
        <v>35664</v>
      </c>
      <c r="G14" s="2">
        <v>6.92</v>
      </c>
      <c r="H14" s="2">
        <v>18050</v>
      </c>
      <c r="I14">
        <f t="shared" si="1"/>
        <v>752.75</v>
      </c>
    </row>
    <row r="15" spans="1:9" x14ac:dyDescent="0.25">
      <c r="A15" s="4">
        <v>45467</v>
      </c>
      <c r="B15" s="2" t="s">
        <v>38</v>
      </c>
      <c r="C15" s="2">
        <v>1779</v>
      </c>
      <c r="D15" s="2">
        <v>109</v>
      </c>
      <c r="E15" s="2">
        <f t="shared" si="0"/>
        <v>1670</v>
      </c>
      <c r="F15" s="2">
        <v>26295</v>
      </c>
      <c r="G15" s="2">
        <v>9.1199999999999992</v>
      </c>
      <c r="H15" s="2">
        <v>30635</v>
      </c>
      <c r="I15">
        <f t="shared" si="1"/>
        <v>540.75</v>
      </c>
    </row>
    <row r="16" spans="1:9" x14ac:dyDescent="0.25">
      <c r="A16" s="4">
        <v>45467</v>
      </c>
      <c r="B16" s="2" t="s">
        <v>14</v>
      </c>
      <c r="C16" s="2">
        <v>1238</v>
      </c>
      <c r="D16" s="2">
        <v>403</v>
      </c>
      <c r="E16" s="2">
        <f t="shared" si="0"/>
        <v>835</v>
      </c>
      <c r="F16" s="2">
        <v>298421</v>
      </c>
      <c r="G16" s="2">
        <v>3.5</v>
      </c>
      <c r="H16" s="2">
        <v>31280</v>
      </c>
      <c r="I16">
        <f t="shared" si="1"/>
        <v>139.25</v>
      </c>
    </row>
    <row r="17" spans="1:9" x14ac:dyDescent="0.25">
      <c r="A17" s="4">
        <v>45467</v>
      </c>
      <c r="B17" s="2" t="s">
        <v>25</v>
      </c>
      <c r="C17" s="2">
        <v>308</v>
      </c>
      <c r="D17" s="2">
        <v>431</v>
      </c>
      <c r="E17" s="2">
        <f t="shared" si="0"/>
        <v>-123</v>
      </c>
      <c r="F17" s="2">
        <v>426184</v>
      </c>
      <c r="G17" s="2">
        <v>2.62</v>
      </c>
      <c r="H17" s="2">
        <v>1783</v>
      </c>
      <c r="I17">
        <f t="shared" si="1"/>
        <v>269.75</v>
      </c>
    </row>
    <row r="18" spans="1:9" x14ac:dyDescent="0.25">
      <c r="A18" s="4">
        <v>45474</v>
      </c>
      <c r="B18" s="2" t="s">
        <v>30</v>
      </c>
      <c r="C18" s="2">
        <v>226</v>
      </c>
      <c r="D18" s="2">
        <v>445</v>
      </c>
      <c r="E18" s="2">
        <f t="shared" si="0"/>
        <v>-219</v>
      </c>
      <c r="F18" s="2">
        <v>419447</v>
      </c>
      <c r="G18" s="2">
        <v>9.36</v>
      </c>
      <c r="H18" s="2">
        <v>9566</v>
      </c>
      <c r="I18">
        <f t="shared" si="1"/>
        <v>323.25</v>
      </c>
    </row>
    <row r="19" spans="1:9" x14ac:dyDescent="0.25">
      <c r="A19" s="4">
        <v>45474</v>
      </c>
      <c r="B19" s="2" t="s">
        <v>38</v>
      </c>
      <c r="C19" s="2">
        <v>505</v>
      </c>
      <c r="D19" s="2">
        <v>441</v>
      </c>
      <c r="E19" s="2">
        <f t="shared" si="0"/>
        <v>64</v>
      </c>
      <c r="F19" s="2">
        <v>220020</v>
      </c>
      <c r="G19" s="2">
        <v>4.4800000000000004</v>
      </c>
      <c r="H19" s="2">
        <v>42307</v>
      </c>
      <c r="I19">
        <f t="shared" si="1"/>
        <v>796</v>
      </c>
    </row>
    <row r="20" spans="1:9" x14ac:dyDescent="0.25">
      <c r="A20" s="4">
        <v>45474</v>
      </c>
      <c r="B20" s="2" t="s">
        <v>14</v>
      </c>
      <c r="C20" s="2">
        <v>1420</v>
      </c>
      <c r="D20" s="2">
        <v>63</v>
      </c>
      <c r="E20" s="2">
        <f t="shared" si="0"/>
        <v>1357</v>
      </c>
      <c r="F20" s="2">
        <v>315305</v>
      </c>
      <c r="G20" s="2">
        <v>6.19</v>
      </c>
      <c r="H20" s="2">
        <v>5914</v>
      </c>
      <c r="I20">
        <f t="shared" si="1"/>
        <v>857.25</v>
      </c>
    </row>
    <row r="21" spans="1:9" ht="15.75" customHeight="1" x14ac:dyDescent="0.25">
      <c r="A21" s="4">
        <v>45474</v>
      </c>
      <c r="B21" s="2" t="s">
        <v>25</v>
      </c>
      <c r="C21" s="2">
        <v>144</v>
      </c>
      <c r="D21" s="2">
        <v>53</v>
      </c>
      <c r="E21" s="2">
        <f t="shared" si="0"/>
        <v>91</v>
      </c>
      <c r="F21" s="2">
        <v>113678</v>
      </c>
      <c r="G21" s="2">
        <v>8.7200000000000006</v>
      </c>
      <c r="H21" s="2">
        <v>30060</v>
      </c>
      <c r="I21">
        <f t="shared" si="1"/>
        <v>654.75</v>
      </c>
    </row>
    <row r="22" spans="1:9" ht="15.75" customHeight="1" x14ac:dyDescent="0.25">
      <c r="A22" s="4">
        <v>45481</v>
      </c>
      <c r="B22" s="2" t="s">
        <v>30</v>
      </c>
      <c r="C22" s="2">
        <v>1757</v>
      </c>
      <c r="D22" s="2">
        <v>85</v>
      </c>
      <c r="E22" s="2">
        <f t="shared" si="0"/>
        <v>1672</v>
      </c>
      <c r="F22" s="2">
        <v>58223</v>
      </c>
      <c r="G22" s="2">
        <v>8.74</v>
      </c>
      <c r="H22" s="2">
        <v>22728</v>
      </c>
      <c r="I22">
        <f t="shared" si="1"/>
        <v>760.5</v>
      </c>
    </row>
    <row r="23" spans="1:9" ht="15.75" customHeight="1" x14ac:dyDescent="0.25">
      <c r="A23" s="4">
        <v>45481</v>
      </c>
      <c r="B23" s="2" t="s">
        <v>38</v>
      </c>
      <c r="C23" s="2">
        <v>350</v>
      </c>
      <c r="D23" s="2">
        <v>41</v>
      </c>
      <c r="E23" s="2">
        <f t="shared" si="0"/>
        <v>309</v>
      </c>
      <c r="F23" s="2">
        <v>251694</v>
      </c>
      <c r="G23" s="2">
        <v>1.91</v>
      </c>
      <c r="H23" s="2">
        <v>38610</v>
      </c>
      <c r="I23">
        <f t="shared" si="1"/>
        <v>803.75</v>
      </c>
    </row>
    <row r="24" spans="1:9" ht="15.75" customHeight="1" x14ac:dyDescent="0.25">
      <c r="A24" s="4">
        <v>45481</v>
      </c>
      <c r="B24" s="2" t="s">
        <v>14</v>
      </c>
      <c r="C24" s="2">
        <v>987</v>
      </c>
      <c r="D24" s="2">
        <v>440</v>
      </c>
      <c r="E24" s="2">
        <f t="shared" si="0"/>
        <v>547</v>
      </c>
      <c r="F24" s="2">
        <v>389810</v>
      </c>
      <c r="G24" s="2">
        <v>4.66</v>
      </c>
      <c r="H24" s="2">
        <v>2932</v>
      </c>
      <c r="I24">
        <f t="shared" si="1"/>
        <v>685.5</v>
      </c>
    </row>
    <row r="25" spans="1:9" ht="15.75" customHeight="1" x14ac:dyDescent="0.25">
      <c r="A25" s="4">
        <v>45481</v>
      </c>
      <c r="B25" s="2" t="s">
        <v>25</v>
      </c>
      <c r="C25" s="2">
        <v>883</v>
      </c>
      <c r="D25" s="2">
        <v>369</v>
      </c>
      <c r="E25" s="2">
        <f t="shared" si="0"/>
        <v>514</v>
      </c>
      <c r="F25" s="2">
        <v>233694</v>
      </c>
      <c r="G25" s="2">
        <v>2.88</v>
      </c>
      <c r="H25" s="2">
        <v>15071</v>
      </c>
      <c r="I25">
        <f t="shared" si="1"/>
        <v>656</v>
      </c>
    </row>
    <row r="26" spans="1:9" ht="15.75" customHeight="1" x14ac:dyDescent="0.25">
      <c r="A26" s="4">
        <v>45488</v>
      </c>
      <c r="B26" s="2" t="s">
        <v>30</v>
      </c>
      <c r="C26" s="2">
        <v>1960</v>
      </c>
      <c r="D26" s="2">
        <v>115</v>
      </c>
      <c r="E26" s="2">
        <f t="shared" si="0"/>
        <v>1845</v>
      </c>
      <c r="F26" s="2">
        <v>154169</v>
      </c>
      <c r="G26" s="2">
        <v>3.74</v>
      </c>
      <c r="H26" s="2">
        <v>10740</v>
      </c>
      <c r="I26">
        <f t="shared" si="1"/>
        <v>567.5</v>
      </c>
    </row>
    <row r="27" spans="1:9" ht="15.75" customHeight="1" x14ac:dyDescent="0.25">
      <c r="A27" s="4">
        <v>45488</v>
      </c>
      <c r="B27" s="2" t="s">
        <v>38</v>
      </c>
      <c r="C27" s="2">
        <v>170</v>
      </c>
      <c r="D27" s="2">
        <v>334</v>
      </c>
      <c r="E27" s="2">
        <f t="shared" si="0"/>
        <v>-164</v>
      </c>
      <c r="F27" s="2">
        <v>334626</v>
      </c>
      <c r="G27" s="2">
        <v>6.44</v>
      </c>
      <c r="H27" s="2">
        <v>43420</v>
      </c>
      <c r="I27">
        <f t="shared" si="1"/>
        <v>146</v>
      </c>
    </row>
    <row r="28" spans="1:9" ht="15.75" customHeight="1" x14ac:dyDescent="0.25">
      <c r="A28" s="4">
        <v>45488</v>
      </c>
      <c r="B28" s="2" t="s">
        <v>14</v>
      </c>
      <c r="C28" s="2">
        <v>704</v>
      </c>
      <c r="D28" s="2">
        <v>275</v>
      </c>
      <c r="E28" s="2">
        <f t="shared" si="0"/>
        <v>429</v>
      </c>
      <c r="F28" s="2">
        <v>226002</v>
      </c>
      <c r="G28" s="2">
        <v>8.56</v>
      </c>
      <c r="H28" s="2">
        <v>32393</v>
      </c>
      <c r="I28">
        <f t="shared" si="1"/>
        <v>427.25</v>
      </c>
    </row>
    <row r="29" spans="1:9" ht="15.75" customHeight="1" x14ac:dyDescent="0.25">
      <c r="A29" s="4">
        <v>45488</v>
      </c>
      <c r="B29" s="2" t="s">
        <v>25</v>
      </c>
      <c r="C29" s="2">
        <v>224</v>
      </c>
      <c r="D29" s="2">
        <v>64</v>
      </c>
      <c r="E29" s="2">
        <f t="shared" si="0"/>
        <v>160</v>
      </c>
      <c r="F29" s="2">
        <v>156683</v>
      </c>
      <c r="G29" s="2">
        <v>4.5599999999999996</v>
      </c>
      <c r="H29" s="2">
        <v>28474</v>
      </c>
      <c r="I29">
        <f t="shared" si="1"/>
        <v>649</v>
      </c>
    </row>
    <row r="30" spans="1:9" ht="15.75" customHeight="1" x14ac:dyDescent="0.25">
      <c r="A30" s="4">
        <v>45495</v>
      </c>
      <c r="B30" s="2" t="s">
        <v>30</v>
      </c>
      <c r="C30" s="2">
        <v>508</v>
      </c>
      <c r="D30" s="2">
        <v>349</v>
      </c>
      <c r="E30" s="2">
        <f t="shared" si="0"/>
        <v>159</v>
      </c>
      <c r="F30" s="2">
        <v>473812</v>
      </c>
      <c r="G30" s="2">
        <v>7.88</v>
      </c>
      <c r="H30" s="2">
        <v>17328</v>
      </c>
      <c r="I30">
        <f t="shared" si="1"/>
        <v>688.25</v>
      </c>
    </row>
    <row r="31" spans="1:9" ht="15.75" customHeight="1" x14ac:dyDescent="0.25">
      <c r="A31" s="4">
        <v>45495</v>
      </c>
      <c r="B31" s="2" t="s">
        <v>38</v>
      </c>
      <c r="C31" s="2">
        <v>1391</v>
      </c>
      <c r="D31" s="2">
        <v>430</v>
      </c>
      <c r="E31" s="2">
        <f t="shared" si="0"/>
        <v>961</v>
      </c>
      <c r="F31" s="2">
        <v>295032</v>
      </c>
      <c r="G31" s="2">
        <v>7.86</v>
      </c>
      <c r="H31" s="2">
        <v>26067</v>
      </c>
      <c r="I31">
        <f t="shared" si="1"/>
        <v>783.75</v>
      </c>
    </row>
    <row r="32" spans="1:9" ht="15.75" customHeight="1" x14ac:dyDescent="0.25">
      <c r="A32" s="4">
        <v>45495</v>
      </c>
      <c r="B32" s="2" t="s">
        <v>14</v>
      </c>
      <c r="C32" s="2">
        <v>1701</v>
      </c>
      <c r="D32" s="2">
        <v>385</v>
      </c>
      <c r="E32" s="2">
        <f t="shared" si="0"/>
        <v>1316</v>
      </c>
      <c r="F32" s="2">
        <v>198278</v>
      </c>
      <c r="G32" s="2">
        <v>5.34</v>
      </c>
      <c r="H32" s="2">
        <v>32763</v>
      </c>
      <c r="I32">
        <f t="shared" si="1"/>
        <v>464</v>
      </c>
    </row>
    <row r="33" spans="1:9" ht="15.75" customHeight="1" x14ac:dyDescent="0.25">
      <c r="A33" s="4">
        <v>45495</v>
      </c>
      <c r="B33" s="2" t="s">
        <v>25</v>
      </c>
      <c r="C33" s="2">
        <v>804</v>
      </c>
      <c r="D33" s="2">
        <v>487</v>
      </c>
      <c r="E33" s="2">
        <f t="shared" si="0"/>
        <v>317</v>
      </c>
      <c r="F33" s="2">
        <v>306564</v>
      </c>
      <c r="G33" s="2">
        <v>5.52</v>
      </c>
      <c r="H33" s="2">
        <v>26452</v>
      </c>
      <c r="I33">
        <f t="shared" si="1"/>
        <v>508.75</v>
      </c>
    </row>
    <row r="34" spans="1:9" ht="15.75" customHeight="1" x14ac:dyDescent="0.25">
      <c r="A34" s="4">
        <v>45502</v>
      </c>
      <c r="B34" s="2" t="s">
        <v>30</v>
      </c>
      <c r="C34" s="2">
        <v>653</v>
      </c>
      <c r="D34" s="2">
        <v>112</v>
      </c>
      <c r="E34" s="2">
        <f t="shared" si="0"/>
        <v>541</v>
      </c>
      <c r="F34" s="2">
        <v>23664</v>
      </c>
      <c r="G34" s="2">
        <v>4.05</v>
      </c>
      <c r="H34" s="2">
        <v>15353</v>
      </c>
      <c r="I34">
        <f t="shared" si="1"/>
        <v>548.25</v>
      </c>
    </row>
    <row r="35" spans="1:9" ht="15.75" customHeight="1" x14ac:dyDescent="0.25">
      <c r="A35" s="4">
        <v>45502</v>
      </c>
      <c r="B35" s="2" t="s">
        <v>38</v>
      </c>
      <c r="C35" s="2">
        <v>160</v>
      </c>
      <c r="D35" s="2">
        <v>478</v>
      </c>
      <c r="E35" s="2">
        <f t="shared" si="0"/>
        <v>-318</v>
      </c>
      <c r="F35" s="2">
        <v>435034</v>
      </c>
      <c r="G35" s="2">
        <v>7.73</v>
      </c>
      <c r="H35" s="2">
        <v>4839</v>
      </c>
      <c r="I35">
        <f t="shared" si="1"/>
        <v>501</v>
      </c>
    </row>
    <row r="36" spans="1:9" ht="15.75" customHeight="1" x14ac:dyDescent="0.25">
      <c r="A36" s="4">
        <v>45502</v>
      </c>
      <c r="B36" s="2" t="s">
        <v>14</v>
      </c>
      <c r="C36" s="2">
        <v>1756</v>
      </c>
      <c r="D36" s="2">
        <v>261</v>
      </c>
      <c r="E36" s="2">
        <f t="shared" si="0"/>
        <v>1495</v>
      </c>
      <c r="F36" s="2">
        <v>287574</v>
      </c>
      <c r="G36" s="2">
        <v>4.3600000000000003</v>
      </c>
      <c r="H36" s="2">
        <v>39272</v>
      </c>
      <c r="I36">
        <f t="shared" si="1"/>
        <v>531.25</v>
      </c>
    </row>
    <row r="37" spans="1:9" ht="15.75" customHeight="1" x14ac:dyDescent="0.25">
      <c r="A37" s="4">
        <v>45502</v>
      </c>
      <c r="B37" s="2" t="s">
        <v>25</v>
      </c>
      <c r="C37" s="2">
        <v>576</v>
      </c>
      <c r="D37" s="2">
        <v>101</v>
      </c>
      <c r="E37" s="2">
        <f t="shared" si="0"/>
        <v>475</v>
      </c>
      <c r="F37" s="2">
        <v>62499</v>
      </c>
      <c r="G37" s="2">
        <v>3.48</v>
      </c>
      <c r="H37" s="2">
        <v>16804</v>
      </c>
      <c r="I37">
        <f t="shared" si="1"/>
        <v>239.5</v>
      </c>
    </row>
    <row r="38" spans="1:9" ht="15.75" customHeight="1" x14ac:dyDescent="0.25">
      <c r="A38" s="4">
        <v>45509</v>
      </c>
      <c r="B38" s="2" t="s">
        <v>30</v>
      </c>
      <c r="C38" s="2">
        <v>645</v>
      </c>
      <c r="D38" s="2">
        <v>293</v>
      </c>
      <c r="E38" s="2">
        <f t="shared" si="0"/>
        <v>352</v>
      </c>
      <c r="F38" s="2">
        <v>437968</v>
      </c>
      <c r="G38" s="2">
        <v>7.83</v>
      </c>
      <c r="H38" s="2">
        <v>49303</v>
      </c>
      <c r="I38">
        <f t="shared" si="1"/>
        <v>200.5</v>
      </c>
    </row>
    <row r="39" spans="1:9" ht="15.75" customHeight="1" x14ac:dyDescent="0.25">
      <c r="A39" s="4">
        <v>45509</v>
      </c>
      <c r="B39" s="2" t="s">
        <v>38</v>
      </c>
      <c r="C39" s="2">
        <v>214</v>
      </c>
      <c r="D39" s="2">
        <v>411</v>
      </c>
      <c r="E39" s="2">
        <f t="shared" si="0"/>
        <v>-197</v>
      </c>
      <c r="F39" s="2">
        <v>125034</v>
      </c>
      <c r="G39" s="2">
        <v>6.11</v>
      </c>
      <c r="H39" s="2">
        <v>26455</v>
      </c>
      <c r="I39">
        <f t="shared" si="1"/>
        <v>443.75</v>
      </c>
    </row>
    <row r="40" spans="1:9" ht="15.75" customHeight="1" x14ac:dyDescent="0.25">
      <c r="A40" s="4">
        <v>45509</v>
      </c>
      <c r="B40" s="2" t="s">
        <v>14</v>
      </c>
      <c r="C40" s="2">
        <v>826</v>
      </c>
      <c r="D40" s="2">
        <v>498</v>
      </c>
      <c r="E40" s="2">
        <f t="shared" si="0"/>
        <v>328</v>
      </c>
      <c r="F40" s="2">
        <v>449994</v>
      </c>
      <c r="G40" s="2">
        <v>9.43</v>
      </c>
      <c r="H40" s="2">
        <v>12384</v>
      </c>
      <c r="I40">
        <f t="shared" si="1"/>
        <v>826.5</v>
      </c>
    </row>
    <row r="41" spans="1:9" ht="15.75" customHeight="1" x14ac:dyDescent="0.25">
      <c r="A41" s="4">
        <v>45509</v>
      </c>
      <c r="B41" s="2" t="s">
        <v>25</v>
      </c>
      <c r="C41" s="2">
        <v>460</v>
      </c>
      <c r="D41" s="2">
        <v>141</v>
      </c>
      <c r="E41" s="2">
        <f t="shared" si="0"/>
        <v>319</v>
      </c>
      <c r="F41" s="2">
        <v>320650</v>
      </c>
      <c r="G41" s="2">
        <v>4.04</v>
      </c>
      <c r="H41" s="2">
        <v>49372</v>
      </c>
      <c r="I41">
        <f t="shared" si="1"/>
        <v>753.75</v>
      </c>
    </row>
    <row r="42" spans="1:9" ht="15.75" customHeight="1" x14ac:dyDescent="0.25">
      <c r="A42" s="4">
        <v>45516</v>
      </c>
      <c r="B42" s="2" t="s">
        <v>30</v>
      </c>
      <c r="C42" s="2">
        <v>1528</v>
      </c>
      <c r="D42" s="2">
        <v>203</v>
      </c>
      <c r="E42" s="2">
        <f t="shared" si="0"/>
        <v>1325</v>
      </c>
      <c r="F42" s="2">
        <v>489188</v>
      </c>
      <c r="G42" s="2">
        <v>6.23</v>
      </c>
      <c r="H42" s="2">
        <v>47101</v>
      </c>
      <c r="I42">
        <f t="shared" si="1"/>
        <v>932</v>
      </c>
    </row>
    <row r="43" spans="1:9" ht="15.75" customHeight="1" x14ac:dyDescent="0.25">
      <c r="A43" s="4">
        <v>45516</v>
      </c>
      <c r="B43" s="2" t="s">
        <v>38</v>
      </c>
      <c r="C43" s="2">
        <v>1534</v>
      </c>
      <c r="D43" s="2">
        <v>200</v>
      </c>
      <c r="E43" s="2">
        <f t="shared" si="0"/>
        <v>1334</v>
      </c>
      <c r="F43" s="2">
        <v>307612</v>
      </c>
      <c r="G43" s="2">
        <v>6.01</v>
      </c>
      <c r="H43" s="2">
        <v>37903</v>
      </c>
      <c r="I43">
        <f t="shared" si="1"/>
        <v>619.75</v>
      </c>
    </row>
    <row r="44" spans="1:9" ht="15.75" customHeight="1" x14ac:dyDescent="0.25">
      <c r="A44" s="4">
        <v>45516</v>
      </c>
      <c r="B44" s="2" t="s">
        <v>14</v>
      </c>
      <c r="C44" s="2">
        <v>485</v>
      </c>
      <c r="D44" s="2">
        <v>448</v>
      </c>
      <c r="E44" s="2">
        <f t="shared" si="0"/>
        <v>37</v>
      </c>
      <c r="F44" s="2">
        <v>434883</v>
      </c>
      <c r="G44" s="2">
        <v>8.5500000000000007</v>
      </c>
      <c r="H44" s="2">
        <v>33258</v>
      </c>
      <c r="I44">
        <f t="shared" si="1"/>
        <v>550.75</v>
      </c>
    </row>
    <row r="45" spans="1:9" ht="15.75" customHeight="1" x14ac:dyDescent="0.25">
      <c r="A45" s="4">
        <v>45516</v>
      </c>
      <c r="B45" s="2" t="s">
        <v>25</v>
      </c>
      <c r="C45" s="2">
        <v>1210</v>
      </c>
      <c r="D45" s="2">
        <v>178</v>
      </c>
      <c r="E45" s="2">
        <f t="shared" si="0"/>
        <v>1032</v>
      </c>
      <c r="F45" s="2">
        <v>102042</v>
      </c>
      <c r="G45" s="2">
        <v>5.42</v>
      </c>
      <c r="H45" s="2">
        <v>6915</v>
      </c>
      <c r="I45">
        <f t="shared" si="1"/>
        <v>957.75</v>
      </c>
    </row>
    <row r="46" spans="1:9" ht="15.75" customHeight="1" x14ac:dyDescent="0.25">
      <c r="A46" s="4">
        <v>45523</v>
      </c>
      <c r="B46" s="2" t="s">
        <v>30</v>
      </c>
      <c r="C46" s="2">
        <v>215</v>
      </c>
      <c r="D46" s="2">
        <v>139</v>
      </c>
      <c r="E46" s="2">
        <f t="shared" si="0"/>
        <v>76</v>
      </c>
      <c r="F46" s="2">
        <v>325444</v>
      </c>
      <c r="G46" s="2">
        <v>3.25</v>
      </c>
      <c r="H46" s="2">
        <v>35501</v>
      </c>
      <c r="I46">
        <f t="shared" si="1"/>
        <v>747.25</v>
      </c>
    </row>
    <row r="47" spans="1:9" ht="15.75" customHeight="1" x14ac:dyDescent="0.25">
      <c r="A47" s="4">
        <v>45523</v>
      </c>
      <c r="B47" s="2" t="s">
        <v>38</v>
      </c>
      <c r="C47" s="2">
        <v>1078</v>
      </c>
      <c r="D47" s="2">
        <v>20</v>
      </c>
      <c r="E47" s="2">
        <f t="shared" si="0"/>
        <v>1058</v>
      </c>
      <c r="F47" s="2">
        <v>183924</v>
      </c>
      <c r="G47" s="2">
        <v>8.84</v>
      </c>
      <c r="H47" s="2">
        <v>14203</v>
      </c>
      <c r="I47">
        <f t="shared" si="1"/>
        <v>1130.5</v>
      </c>
    </row>
    <row r="48" spans="1:9" ht="15.75" customHeight="1" x14ac:dyDescent="0.25">
      <c r="A48" s="4">
        <v>45523</v>
      </c>
      <c r="B48" s="2" t="s">
        <v>14</v>
      </c>
      <c r="C48" s="2">
        <v>1751</v>
      </c>
      <c r="D48" s="2">
        <v>86</v>
      </c>
      <c r="E48" s="2">
        <f t="shared" si="0"/>
        <v>1665</v>
      </c>
      <c r="F48" s="2">
        <v>188655</v>
      </c>
      <c r="G48" s="2">
        <v>7.24</v>
      </c>
      <c r="H48" s="2">
        <v>22206</v>
      </c>
      <c r="I48">
        <f t="shared" si="1"/>
        <v>875.25</v>
      </c>
    </row>
    <row r="49" spans="1:9" ht="15.75" customHeight="1" x14ac:dyDescent="0.25">
      <c r="A49" s="4">
        <v>45523</v>
      </c>
      <c r="B49" s="2" t="s">
        <v>25</v>
      </c>
      <c r="C49" s="2">
        <v>221</v>
      </c>
      <c r="D49" s="2">
        <v>31</v>
      </c>
      <c r="E49" s="2">
        <f t="shared" si="0"/>
        <v>190</v>
      </c>
      <c r="F49" s="2">
        <v>87443</v>
      </c>
      <c r="G49" s="2">
        <v>6.19</v>
      </c>
      <c r="H49" s="2">
        <v>10283</v>
      </c>
      <c r="I49">
        <f t="shared" si="1"/>
        <v>766.25</v>
      </c>
    </row>
    <row r="50" spans="1:9" ht="15.75" customHeight="1" x14ac:dyDescent="0.25">
      <c r="A50" s="4">
        <v>45530</v>
      </c>
      <c r="B50" s="2" t="s">
        <v>30</v>
      </c>
      <c r="C50" s="2">
        <v>1685</v>
      </c>
      <c r="D50" s="2">
        <v>76</v>
      </c>
      <c r="E50" s="2">
        <f t="shared" si="0"/>
        <v>1609</v>
      </c>
      <c r="F50" s="2">
        <v>453799</v>
      </c>
      <c r="G50" s="2">
        <v>5.71</v>
      </c>
      <c r="H50" s="2">
        <v>24913</v>
      </c>
      <c r="I50">
        <f t="shared" si="1"/>
        <v>725.75</v>
      </c>
    </row>
    <row r="51" spans="1:9" ht="15.75" customHeight="1" x14ac:dyDescent="0.25">
      <c r="A51" s="4">
        <v>45530</v>
      </c>
      <c r="B51" s="2" t="s">
        <v>38</v>
      </c>
      <c r="C51" s="2">
        <v>248</v>
      </c>
      <c r="D51" s="2">
        <v>211</v>
      </c>
      <c r="E51" s="2">
        <f t="shared" si="0"/>
        <v>37</v>
      </c>
      <c r="F51" s="2">
        <v>379380</v>
      </c>
      <c r="G51" s="2">
        <v>9.0399999999999991</v>
      </c>
      <c r="H51" s="2">
        <v>26925</v>
      </c>
      <c r="I51">
        <f t="shared" si="1"/>
        <v>635.25</v>
      </c>
    </row>
    <row r="52" spans="1:9" ht="15.75" customHeight="1" x14ac:dyDescent="0.25">
      <c r="A52" s="4">
        <v>45530</v>
      </c>
      <c r="B52" s="2" t="s">
        <v>14</v>
      </c>
      <c r="C52" s="2">
        <v>1300</v>
      </c>
      <c r="D52" s="2">
        <v>71</v>
      </c>
      <c r="E52" s="2">
        <f t="shared" si="0"/>
        <v>1229</v>
      </c>
      <c r="F52" s="2">
        <v>186454</v>
      </c>
      <c r="G52" s="2">
        <v>3.91</v>
      </c>
      <c r="H52" s="2">
        <v>9942</v>
      </c>
      <c r="I52">
        <f t="shared" si="1"/>
        <v>887.25</v>
      </c>
    </row>
    <row r="53" spans="1:9" ht="15.75" customHeight="1" x14ac:dyDescent="0.25">
      <c r="A53" s="4">
        <v>45530</v>
      </c>
      <c r="B53" s="2" t="s">
        <v>25</v>
      </c>
      <c r="C53" s="2">
        <v>422</v>
      </c>
      <c r="D53" s="2">
        <v>394</v>
      </c>
      <c r="E53" s="2">
        <f t="shared" si="0"/>
        <v>28</v>
      </c>
      <c r="F53" s="2">
        <v>239044</v>
      </c>
      <c r="G53" s="2">
        <v>7.83</v>
      </c>
      <c r="H53" s="2">
        <v>32929</v>
      </c>
      <c r="I53">
        <f t="shared" si="1"/>
        <v>629.25</v>
      </c>
    </row>
    <row r="54" spans="1:9" ht="15.75" customHeight="1" x14ac:dyDescent="0.25">
      <c r="A54" s="4">
        <v>45537</v>
      </c>
      <c r="B54" s="2" t="s">
        <v>30</v>
      </c>
      <c r="C54" s="2">
        <v>1429</v>
      </c>
      <c r="D54" s="2">
        <v>182</v>
      </c>
      <c r="E54" s="2">
        <f t="shared" si="0"/>
        <v>1247</v>
      </c>
      <c r="F54" s="2">
        <v>101332</v>
      </c>
      <c r="G54" s="2">
        <v>7.16</v>
      </c>
      <c r="H54" s="2">
        <v>37829</v>
      </c>
      <c r="I54">
        <f t="shared" si="1"/>
        <v>705.5</v>
      </c>
    </row>
    <row r="55" spans="1:9" ht="15.75" customHeight="1" x14ac:dyDescent="0.25">
      <c r="A55" s="4">
        <v>45537</v>
      </c>
      <c r="B55" s="2" t="s">
        <v>38</v>
      </c>
      <c r="C55" s="2">
        <v>1520</v>
      </c>
      <c r="D55" s="2">
        <v>475</v>
      </c>
      <c r="E55" s="2">
        <f t="shared" si="0"/>
        <v>1045</v>
      </c>
      <c r="F55" s="2">
        <v>496982</v>
      </c>
      <c r="G55" s="2">
        <v>6.41</v>
      </c>
      <c r="H55" s="2">
        <v>24384</v>
      </c>
      <c r="I55">
        <f t="shared" si="1"/>
        <v>786.75</v>
      </c>
    </row>
    <row r="56" spans="1:9" ht="15.75" customHeight="1" x14ac:dyDescent="0.25">
      <c r="A56" s="4">
        <v>45537</v>
      </c>
      <c r="B56" s="2" t="s">
        <v>14</v>
      </c>
      <c r="C56" s="2">
        <v>557</v>
      </c>
      <c r="D56" s="2">
        <v>360</v>
      </c>
      <c r="E56" s="2">
        <f t="shared" si="0"/>
        <v>197</v>
      </c>
      <c r="F56" s="2">
        <v>318779</v>
      </c>
      <c r="G56" s="2">
        <v>8.02</v>
      </c>
      <c r="H56" s="2">
        <v>25797</v>
      </c>
      <c r="I56">
        <f t="shared" si="1"/>
        <v>882.5</v>
      </c>
    </row>
    <row r="57" spans="1:9" ht="15.75" customHeight="1" x14ac:dyDescent="0.25">
      <c r="A57" s="4">
        <v>45537</v>
      </c>
      <c r="B57" s="2" t="s">
        <v>25</v>
      </c>
      <c r="C57" s="2">
        <v>728</v>
      </c>
      <c r="D57" s="2">
        <v>395</v>
      </c>
      <c r="E57" s="2">
        <f t="shared" si="0"/>
        <v>333</v>
      </c>
      <c r="F57" s="2">
        <v>370971</v>
      </c>
      <c r="G57" s="2">
        <v>3.86</v>
      </c>
      <c r="H57" s="2">
        <v>12646</v>
      </c>
      <c r="I57">
        <f t="shared" si="1"/>
        <v>898.25</v>
      </c>
    </row>
    <row r="58" spans="1:9" ht="15.75" customHeight="1" x14ac:dyDescent="0.25">
      <c r="A58" s="4">
        <v>45544</v>
      </c>
      <c r="B58" s="2" t="s">
        <v>30</v>
      </c>
      <c r="C58" s="2">
        <v>1592</v>
      </c>
      <c r="D58" s="2">
        <v>20</v>
      </c>
      <c r="E58" s="2">
        <f t="shared" si="0"/>
        <v>1572</v>
      </c>
      <c r="F58" s="2">
        <v>378054</v>
      </c>
      <c r="G58" s="2">
        <v>9.09</v>
      </c>
      <c r="H58" s="2">
        <v>26663</v>
      </c>
      <c r="I58">
        <f t="shared" si="1"/>
        <v>1090</v>
      </c>
    </row>
    <row r="59" spans="1:9" ht="15.75" customHeight="1" x14ac:dyDescent="0.25">
      <c r="A59" s="4">
        <v>45544</v>
      </c>
      <c r="B59" s="2" t="s">
        <v>38</v>
      </c>
      <c r="C59" s="2">
        <v>1842</v>
      </c>
      <c r="D59" s="2">
        <v>414</v>
      </c>
      <c r="E59" s="2">
        <f t="shared" si="0"/>
        <v>1428</v>
      </c>
      <c r="F59" s="2">
        <v>307524</v>
      </c>
      <c r="G59" s="2">
        <v>1.76</v>
      </c>
      <c r="H59" s="2">
        <v>40478</v>
      </c>
      <c r="I59">
        <f t="shared" si="1"/>
        <v>791.25</v>
      </c>
    </row>
    <row r="60" spans="1:9" ht="15.75" customHeight="1" x14ac:dyDescent="0.25">
      <c r="A60" s="4">
        <v>45544</v>
      </c>
      <c r="B60" s="2" t="s">
        <v>14</v>
      </c>
      <c r="C60" s="2">
        <v>751</v>
      </c>
      <c r="D60" s="2">
        <v>491</v>
      </c>
      <c r="E60" s="2">
        <f t="shared" si="0"/>
        <v>260</v>
      </c>
      <c r="F60" s="2">
        <v>434047</v>
      </c>
      <c r="G60" s="2">
        <v>9.24</v>
      </c>
      <c r="H60" s="2">
        <v>15476</v>
      </c>
      <c r="I60">
        <f t="shared" si="1"/>
        <v>458.75</v>
      </c>
    </row>
    <row r="61" spans="1:9" ht="15.75" customHeight="1" x14ac:dyDescent="0.25">
      <c r="A61" s="4">
        <v>45544</v>
      </c>
      <c r="B61" s="2" t="s">
        <v>25</v>
      </c>
      <c r="C61" s="2">
        <v>1409</v>
      </c>
      <c r="D61" s="2">
        <v>309</v>
      </c>
      <c r="E61" s="2">
        <f t="shared" si="0"/>
        <v>1100</v>
      </c>
      <c r="F61" s="2">
        <v>64583</v>
      </c>
      <c r="G61" s="2">
        <v>8.99</v>
      </c>
      <c r="H61" s="2">
        <v>10217</v>
      </c>
      <c r="I61">
        <f t="shared" si="1"/>
        <v>675</v>
      </c>
    </row>
    <row r="62" spans="1:9" ht="15.75" customHeight="1" x14ac:dyDescent="0.25">
      <c r="A62" s="4">
        <v>45551</v>
      </c>
      <c r="B62" s="2" t="s">
        <v>30</v>
      </c>
      <c r="C62" s="2">
        <v>778</v>
      </c>
      <c r="D62" s="2">
        <v>401</v>
      </c>
      <c r="E62" s="2">
        <f t="shared" si="0"/>
        <v>377</v>
      </c>
      <c r="F62" s="2">
        <v>50793</v>
      </c>
      <c r="G62" s="2">
        <v>3.4</v>
      </c>
      <c r="H62" s="2">
        <v>21939</v>
      </c>
      <c r="I62">
        <f t="shared" si="1"/>
        <v>392</v>
      </c>
    </row>
    <row r="63" spans="1:9" ht="15.75" customHeight="1" x14ac:dyDescent="0.25">
      <c r="A63" s="4">
        <v>45551</v>
      </c>
      <c r="B63" s="2" t="s">
        <v>38</v>
      </c>
      <c r="C63" s="2">
        <v>443</v>
      </c>
      <c r="D63" s="2">
        <v>345</v>
      </c>
      <c r="E63" s="2">
        <f t="shared" si="0"/>
        <v>98</v>
      </c>
      <c r="F63" s="2">
        <v>474162</v>
      </c>
      <c r="G63" s="2">
        <v>9.1999999999999993</v>
      </c>
      <c r="H63" s="2">
        <v>47462</v>
      </c>
      <c r="I63">
        <f t="shared" si="1"/>
        <v>464.25</v>
      </c>
    </row>
    <row r="64" spans="1:9" ht="15.75" customHeight="1" x14ac:dyDescent="0.25">
      <c r="A64" s="4">
        <v>45551</v>
      </c>
      <c r="B64" s="2" t="s">
        <v>14</v>
      </c>
      <c r="C64" s="2">
        <v>1472</v>
      </c>
      <c r="D64" s="2">
        <v>347</v>
      </c>
      <c r="E64" s="2">
        <f t="shared" si="0"/>
        <v>1125</v>
      </c>
      <c r="F64" s="2">
        <v>392355</v>
      </c>
      <c r="G64" s="2">
        <v>8.59</v>
      </c>
      <c r="H64" s="2">
        <v>30270</v>
      </c>
      <c r="I64">
        <f t="shared" si="1"/>
        <v>435</v>
      </c>
    </row>
    <row r="65" spans="1:9" ht="15.75" customHeight="1" x14ac:dyDescent="0.25">
      <c r="A65" s="4">
        <v>45551</v>
      </c>
      <c r="B65" s="2" t="s">
        <v>25</v>
      </c>
      <c r="C65" s="2">
        <v>123</v>
      </c>
      <c r="D65" s="2">
        <v>155</v>
      </c>
      <c r="E65" s="2">
        <f t="shared" si="0"/>
        <v>-32</v>
      </c>
      <c r="F65" s="2">
        <v>119934</v>
      </c>
      <c r="G65" s="2">
        <v>3.5</v>
      </c>
      <c r="H65" s="2">
        <v>5442</v>
      </c>
      <c r="I65">
        <f t="shared" si="1"/>
        <v>573.75</v>
      </c>
    </row>
    <row r="66" spans="1:9" ht="15.75" customHeight="1" x14ac:dyDescent="0.25">
      <c r="A66" s="4">
        <v>45558</v>
      </c>
      <c r="B66" s="2" t="s">
        <v>30</v>
      </c>
      <c r="C66" s="2">
        <v>817</v>
      </c>
      <c r="D66" s="2">
        <v>151</v>
      </c>
      <c r="E66" s="2">
        <f t="shared" si="0"/>
        <v>666</v>
      </c>
      <c r="F66" s="2">
        <v>422625</v>
      </c>
      <c r="G66" s="2">
        <v>2.36</v>
      </c>
      <c r="H66" s="2">
        <v>1083</v>
      </c>
      <c r="I66">
        <f t="shared" si="1"/>
        <v>833.25</v>
      </c>
    </row>
    <row r="67" spans="1:9" ht="15.75" customHeight="1" x14ac:dyDescent="0.25">
      <c r="A67" s="4">
        <v>45558</v>
      </c>
      <c r="B67" s="2" t="s">
        <v>38</v>
      </c>
      <c r="C67" s="2">
        <v>198</v>
      </c>
      <c r="D67" s="2">
        <v>217</v>
      </c>
      <c r="E67" s="2">
        <f t="shared" ref="E67:E130" si="2">C67-D67</f>
        <v>-19</v>
      </c>
      <c r="F67" s="2">
        <v>239753</v>
      </c>
      <c r="G67" s="2">
        <v>7.36</v>
      </c>
      <c r="H67" s="2">
        <v>11901</v>
      </c>
      <c r="I67">
        <f t="shared" ref="I67:I130" si="3">AVERAGE(E67:E70)</f>
        <v>923</v>
      </c>
    </row>
    <row r="68" spans="1:9" ht="15.75" customHeight="1" x14ac:dyDescent="0.25">
      <c r="A68" s="4">
        <v>45558</v>
      </c>
      <c r="B68" s="2" t="s">
        <v>14</v>
      </c>
      <c r="C68" s="2">
        <v>1911</v>
      </c>
      <c r="D68" s="2">
        <v>231</v>
      </c>
      <c r="E68" s="2">
        <f t="shared" si="2"/>
        <v>1680</v>
      </c>
      <c r="F68" s="2">
        <v>268516</v>
      </c>
      <c r="G68" s="2">
        <v>8.5500000000000007</v>
      </c>
      <c r="H68" s="2">
        <v>24018</v>
      </c>
      <c r="I68">
        <f t="shared" si="3"/>
        <v>883</v>
      </c>
    </row>
    <row r="69" spans="1:9" ht="15.75" customHeight="1" x14ac:dyDescent="0.25">
      <c r="A69" s="4">
        <v>45558</v>
      </c>
      <c r="B69" s="2" t="s">
        <v>25</v>
      </c>
      <c r="C69" s="2">
        <v>1218</v>
      </c>
      <c r="D69" s="2">
        <v>212</v>
      </c>
      <c r="E69" s="2">
        <f t="shared" si="2"/>
        <v>1006</v>
      </c>
      <c r="F69" s="2">
        <v>63177</v>
      </c>
      <c r="G69" s="2">
        <v>8.1300000000000008</v>
      </c>
      <c r="H69" s="2">
        <v>38883</v>
      </c>
      <c r="I69">
        <f t="shared" si="3"/>
        <v>612.75</v>
      </c>
    </row>
    <row r="70" spans="1:9" ht="15.75" customHeight="1" x14ac:dyDescent="0.25">
      <c r="A70" s="4">
        <v>45565</v>
      </c>
      <c r="B70" s="2" t="s">
        <v>30</v>
      </c>
      <c r="C70" s="2">
        <v>1433</v>
      </c>
      <c r="D70" s="2">
        <v>408</v>
      </c>
      <c r="E70" s="2">
        <f t="shared" si="2"/>
        <v>1025</v>
      </c>
      <c r="F70" s="2">
        <v>370269</v>
      </c>
      <c r="G70" s="2">
        <v>3.3</v>
      </c>
      <c r="H70" s="2">
        <v>30575</v>
      </c>
      <c r="I70">
        <f t="shared" si="3"/>
        <v>787.75</v>
      </c>
    </row>
    <row r="71" spans="1:9" ht="15.75" customHeight="1" x14ac:dyDescent="0.25">
      <c r="A71" s="4">
        <v>45565</v>
      </c>
      <c r="B71" s="2" t="s">
        <v>38</v>
      </c>
      <c r="C71" s="2">
        <v>250</v>
      </c>
      <c r="D71" s="2">
        <v>429</v>
      </c>
      <c r="E71" s="2">
        <f t="shared" si="2"/>
        <v>-179</v>
      </c>
      <c r="F71" s="2">
        <v>453423</v>
      </c>
      <c r="G71" s="2">
        <v>1.77</v>
      </c>
      <c r="H71" s="2">
        <v>2315</v>
      </c>
      <c r="I71">
        <f t="shared" si="3"/>
        <v>999.5</v>
      </c>
    </row>
    <row r="72" spans="1:9" ht="15.75" customHeight="1" x14ac:dyDescent="0.25">
      <c r="A72" s="4">
        <v>45565</v>
      </c>
      <c r="B72" s="2" t="s">
        <v>14</v>
      </c>
      <c r="C72" s="2">
        <v>752</v>
      </c>
      <c r="D72" s="2">
        <v>153</v>
      </c>
      <c r="E72" s="2">
        <f t="shared" si="2"/>
        <v>599</v>
      </c>
      <c r="F72" s="2">
        <v>64906</v>
      </c>
      <c r="G72" s="2">
        <v>2.09</v>
      </c>
      <c r="H72" s="2">
        <v>12148</v>
      </c>
      <c r="I72">
        <f t="shared" si="3"/>
        <v>1459.75</v>
      </c>
    </row>
    <row r="73" spans="1:9" ht="15.75" customHeight="1" x14ac:dyDescent="0.25">
      <c r="A73" s="4">
        <v>45565</v>
      </c>
      <c r="B73" s="2" t="s">
        <v>25</v>
      </c>
      <c r="C73" s="2">
        <v>1918</v>
      </c>
      <c r="D73" s="2">
        <v>212</v>
      </c>
      <c r="E73" s="2">
        <f t="shared" si="2"/>
        <v>1706</v>
      </c>
      <c r="F73" s="2">
        <v>94360</v>
      </c>
      <c r="G73" s="2">
        <v>7.36</v>
      </c>
      <c r="H73" s="2">
        <v>36851</v>
      </c>
      <c r="I73">
        <f t="shared" si="3"/>
        <v>1336.75</v>
      </c>
    </row>
    <row r="74" spans="1:9" ht="15.75" customHeight="1" x14ac:dyDescent="0.25">
      <c r="A74" s="4">
        <v>45572</v>
      </c>
      <c r="B74" s="2" t="s">
        <v>30</v>
      </c>
      <c r="C74" s="2">
        <v>1939</v>
      </c>
      <c r="D74" s="2">
        <v>67</v>
      </c>
      <c r="E74" s="2">
        <f t="shared" si="2"/>
        <v>1872</v>
      </c>
      <c r="F74" s="2">
        <v>187183</v>
      </c>
      <c r="G74" s="2">
        <v>6.25</v>
      </c>
      <c r="H74" s="2">
        <v>41215</v>
      </c>
      <c r="I74">
        <f t="shared" si="3"/>
        <v>939.75</v>
      </c>
    </row>
    <row r="75" spans="1:9" ht="15.75" customHeight="1" x14ac:dyDescent="0.25">
      <c r="A75" s="4">
        <v>45572</v>
      </c>
      <c r="B75" s="2" t="s">
        <v>38</v>
      </c>
      <c r="C75" s="2">
        <v>1929</v>
      </c>
      <c r="D75" s="2">
        <v>267</v>
      </c>
      <c r="E75" s="2">
        <f t="shared" si="2"/>
        <v>1662</v>
      </c>
      <c r="F75" s="2">
        <v>379363</v>
      </c>
      <c r="G75" s="2">
        <v>1.75</v>
      </c>
      <c r="H75" s="2">
        <v>43836</v>
      </c>
      <c r="I75">
        <f t="shared" si="3"/>
        <v>777.75</v>
      </c>
    </row>
    <row r="76" spans="1:9" ht="15.75" customHeight="1" x14ac:dyDescent="0.25">
      <c r="A76" s="4">
        <v>45572</v>
      </c>
      <c r="B76" s="2" t="s">
        <v>14</v>
      </c>
      <c r="C76" s="2">
        <v>437</v>
      </c>
      <c r="D76" s="2">
        <v>330</v>
      </c>
      <c r="E76" s="2">
        <f t="shared" si="2"/>
        <v>107</v>
      </c>
      <c r="F76" s="2">
        <v>476486</v>
      </c>
      <c r="G76" s="2">
        <v>4.97</v>
      </c>
      <c r="H76" s="2">
        <v>4509</v>
      </c>
      <c r="I76">
        <f t="shared" si="3"/>
        <v>433.5</v>
      </c>
    </row>
    <row r="77" spans="1:9" ht="15.75" customHeight="1" x14ac:dyDescent="0.25">
      <c r="A77" s="4">
        <v>45572</v>
      </c>
      <c r="B77" s="2" t="s">
        <v>25</v>
      </c>
      <c r="C77" s="2">
        <v>307</v>
      </c>
      <c r="D77" s="2">
        <v>189</v>
      </c>
      <c r="E77" s="2">
        <f t="shared" si="2"/>
        <v>118</v>
      </c>
      <c r="F77" s="2">
        <v>117767</v>
      </c>
      <c r="G77" s="2">
        <v>9.3000000000000007</v>
      </c>
      <c r="H77" s="2">
        <v>27822</v>
      </c>
      <c r="I77">
        <f t="shared" si="3"/>
        <v>401.75</v>
      </c>
    </row>
    <row r="78" spans="1:9" ht="15.75" customHeight="1" x14ac:dyDescent="0.25">
      <c r="A78" s="4">
        <v>45579</v>
      </c>
      <c r="B78" s="2" t="s">
        <v>30</v>
      </c>
      <c r="C78" s="2">
        <v>1527</v>
      </c>
      <c r="D78" s="2">
        <v>303</v>
      </c>
      <c r="E78" s="2">
        <f t="shared" si="2"/>
        <v>1224</v>
      </c>
      <c r="F78" s="2">
        <v>388555</v>
      </c>
      <c r="G78" s="2">
        <v>8.9</v>
      </c>
      <c r="H78" s="2">
        <v>36397</v>
      </c>
      <c r="I78">
        <f t="shared" si="3"/>
        <v>464</v>
      </c>
    </row>
    <row r="79" spans="1:9" ht="15.75" customHeight="1" x14ac:dyDescent="0.25">
      <c r="A79" s="4">
        <v>45579</v>
      </c>
      <c r="B79" s="2" t="s">
        <v>38</v>
      </c>
      <c r="C79" s="2">
        <v>643</v>
      </c>
      <c r="D79" s="2">
        <v>358</v>
      </c>
      <c r="E79" s="2">
        <f t="shared" si="2"/>
        <v>285</v>
      </c>
      <c r="F79" s="2">
        <v>157599</v>
      </c>
      <c r="G79" s="2">
        <v>3.88</v>
      </c>
      <c r="H79" s="2">
        <v>7285</v>
      </c>
      <c r="I79">
        <f t="shared" si="3"/>
        <v>223.5</v>
      </c>
    </row>
    <row r="80" spans="1:9" ht="15.75" customHeight="1" x14ac:dyDescent="0.25">
      <c r="A80" s="4">
        <v>45579</v>
      </c>
      <c r="B80" s="2" t="s">
        <v>14</v>
      </c>
      <c r="C80" s="2">
        <v>201</v>
      </c>
      <c r="D80" s="2">
        <v>221</v>
      </c>
      <c r="E80" s="2">
        <f t="shared" si="2"/>
        <v>-20</v>
      </c>
      <c r="F80" s="2">
        <v>309772</v>
      </c>
      <c r="G80" s="2">
        <v>5.9</v>
      </c>
      <c r="H80" s="2">
        <v>33174</v>
      </c>
      <c r="I80">
        <f t="shared" si="3"/>
        <v>262</v>
      </c>
    </row>
    <row r="81" spans="1:9" ht="15.75" customHeight="1" x14ac:dyDescent="0.25">
      <c r="A81" s="4">
        <v>45579</v>
      </c>
      <c r="B81" s="2" t="s">
        <v>25</v>
      </c>
      <c r="C81" s="2">
        <v>414</v>
      </c>
      <c r="D81" s="2">
        <v>47</v>
      </c>
      <c r="E81" s="2">
        <f t="shared" si="2"/>
        <v>367</v>
      </c>
      <c r="F81" s="2">
        <v>199178</v>
      </c>
      <c r="G81" s="2">
        <v>1.53</v>
      </c>
      <c r="H81" s="2">
        <v>6742</v>
      </c>
      <c r="I81">
        <f t="shared" si="3"/>
        <v>426</v>
      </c>
    </row>
    <row r="82" spans="1:9" ht="15.75" customHeight="1" x14ac:dyDescent="0.25">
      <c r="A82" s="4">
        <v>45586</v>
      </c>
      <c r="B82" s="2" t="s">
        <v>30</v>
      </c>
      <c r="C82" s="2">
        <v>703</v>
      </c>
      <c r="D82" s="2">
        <v>441</v>
      </c>
      <c r="E82" s="2">
        <f t="shared" si="2"/>
        <v>262</v>
      </c>
      <c r="F82" s="2">
        <v>357089</v>
      </c>
      <c r="G82" s="2">
        <v>6.5</v>
      </c>
      <c r="H82" s="2">
        <v>32478</v>
      </c>
      <c r="I82">
        <f t="shared" si="3"/>
        <v>705.25</v>
      </c>
    </row>
    <row r="83" spans="1:9" ht="15.75" customHeight="1" x14ac:dyDescent="0.25">
      <c r="A83" s="4">
        <v>45586</v>
      </c>
      <c r="B83" s="2" t="s">
        <v>38</v>
      </c>
      <c r="C83" s="2">
        <v>508</v>
      </c>
      <c r="D83" s="2">
        <v>69</v>
      </c>
      <c r="E83" s="2">
        <f t="shared" si="2"/>
        <v>439</v>
      </c>
      <c r="F83" s="2">
        <v>23492</v>
      </c>
      <c r="G83" s="2">
        <v>3.16</v>
      </c>
      <c r="H83" s="2">
        <v>42824</v>
      </c>
      <c r="I83">
        <f t="shared" si="3"/>
        <v>783.75</v>
      </c>
    </row>
    <row r="84" spans="1:9" ht="15.75" customHeight="1" x14ac:dyDescent="0.25">
      <c r="A84" s="4">
        <v>45586</v>
      </c>
      <c r="B84" s="2" t="s">
        <v>14</v>
      </c>
      <c r="C84" s="2">
        <v>697</v>
      </c>
      <c r="D84" s="2">
        <v>61</v>
      </c>
      <c r="E84" s="2">
        <f t="shared" si="2"/>
        <v>636</v>
      </c>
      <c r="F84" s="2">
        <v>258287</v>
      </c>
      <c r="G84" s="2">
        <v>8.25</v>
      </c>
      <c r="H84" s="2">
        <v>21208</v>
      </c>
      <c r="I84">
        <f t="shared" si="3"/>
        <v>770.5</v>
      </c>
    </row>
    <row r="85" spans="1:9" ht="15.75" customHeight="1" x14ac:dyDescent="0.25">
      <c r="A85" s="4">
        <v>45586</v>
      </c>
      <c r="B85" s="2" t="s">
        <v>25</v>
      </c>
      <c r="C85" s="2">
        <v>1707</v>
      </c>
      <c r="D85" s="2">
        <v>223</v>
      </c>
      <c r="E85" s="2">
        <f t="shared" si="2"/>
        <v>1484</v>
      </c>
      <c r="F85" s="2">
        <v>256910</v>
      </c>
      <c r="G85" s="2">
        <v>5.41</v>
      </c>
      <c r="H85" s="2">
        <v>44321</v>
      </c>
      <c r="I85">
        <f t="shared" si="3"/>
        <v>620.75</v>
      </c>
    </row>
    <row r="86" spans="1:9" ht="15.75" customHeight="1" x14ac:dyDescent="0.25">
      <c r="A86" s="4">
        <v>45593</v>
      </c>
      <c r="B86" s="2" t="s">
        <v>30</v>
      </c>
      <c r="C86" s="2">
        <v>642</v>
      </c>
      <c r="D86" s="2">
        <v>66</v>
      </c>
      <c r="E86" s="2">
        <f t="shared" si="2"/>
        <v>576</v>
      </c>
      <c r="F86" s="2">
        <v>346522</v>
      </c>
      <c r="G86" s="2">
        <v>5.85</v>
      </c>
      <c r="H86" s="2">
        <v>13116</v>
      </c>
      <c r="I86">
        <f t="shared" si="3"/>
        <v>664</v>
      </c>
    </row>
    <row r="87" spans="1:9" ht="15.75" customHeight="1" x14ac:dyDescent="0.25">
      <c r="A87" s="4">
        <v>45593</v>
      </c>
      <c r="B87" s="2" t="s">
        <v>38</v>
      </c>
      <c r="C87" s="2">
        <v>859</v>
      </c>
      <c r="D87" s="2">
        <v>473</v>
      </c>
      <c r="E87" s="2">
        <f t="shared" si="2"/>
        <v>386</v>
      </c>
      <c r="F87" s="2">
        <v>209987</v>
      </c>
      <c r="G87" s="2">
        <v>4.46</v>
      </c>
      <c r="H87" s="2">
        <v>30214</v>
      </c>
      <c r="I87">
        <f t="shared" si="3"/>
        <v>869.25</v>
      </c>
    </row>
    <row r="88" spans="1:9" ht="15.75" customHeight="1" x14ac:dyDescent="0.25">
      <c r="A88" s="4">
        <v>45593</v>
      </c>
      <c r="B88" s="2" t="s">
        <v>14</v>
      </c>
      <c r="C88" s="2">
        <v>191</v>
      </c>
      <c r="D88" s="2">
        <v>154</v>
      </c>
      <c r="E88" s="2">
        <f t="shared" si="2"/>
        <v>37</v>
      </c>
      <c r="F88" s="2">
        <v>240550</v>
      </c>
      <c r="G88" s="2">
        <v>5.22</v>
      </c>
      <c r="H88" s="2">
        <v>15827</v>
      </c>
      <c r="I88">
        <f t="shared" si="3"/>
        <v>907.75</v>
      </c>
    </row>
    <row r="89" spans="1:9" ht="15.75" customHeight="1" x14ac:dyDescent="0.25">
      <c r="A89" s="4">
        <v>45593</v>
      </c>
      <c r="B89" s="2" t="s">
        <v>25</v>
      </c>
      <c r="C89" s="2">
        <v>1814</v>
      </c>
      <c r="D89" s="2">
        <v>157</v>
      </c>
      <c r="E89" s="2">
        <f t="shared" si="2"/>
        <v>1657</v>
      </c>
      <c r="F89" s="2">
        <v>305827</v>
      </c>
      <c r="G89" s="2">
        <v>1.99</v>
      </c>
      <c r="H89" s="2">
        <v>46643</v>
      </c>
      <c r="I89">
        <f t="shared" si="3"/>
        <v>1299.25</v>
      </c>
    </row>
    <row r="90" spans="1:9" ht="15.75" customHeight="1" x14ac:dyDescent="0.25">
      <c r="A90" s="4">
        <v>45600</v>
      </c>
      <c r="B90" s="2" t="s">
        <v>30</v>
      </c>
      <c r="C90" s="2">
        <v>1466</v>
      </c>
      <c r="D90" s="2">
        <v>69</v>
      </c>
      <c r="E90" s="2">
        <f t="shared" si="2"/>
        <v>1397</v>
      </c>
      <c r="F90" s="2">
        <v>54935</v>
      </c>
      <c r="G90" s="2">
        <v>6.85</v>
      </c>
      <c r="H90" s="2">
        <v>36484</v>
      </c>
      <c r="I90">
        <f t="shared" si="3"/>
        <v>1146</v>
      </c>
    </row>
    <row r="91" spans="1:9" ht="15.75" customHeight="1" x14ac:dyDescent="0.25">
      <c r="A91" s="4">
        <v>45600</v>
      </c>
      <c r="B91" s="2" t="s">
        <v>38</v>
      </c>
      <c r="C91" s="2">
        <v>947</v>
      </c>
      <c r="D91" s="2">
        <v>407</v>
      </c>
      <c r="E91" s="2">
        <f t="shared" si="2"/>
        <v>540</v>
      </c>
      <c r="F91" s="2">
        <v>319186</v>
      </c>
      <c r="G91" s="2">
        <v>3.32</v>
      </c>
      <c r="H91" s="2">
        <v>4996</v>
      </c>
      <c r="I91">
        <f t="shared" si="3"/>
        <v>1022.25</v>
      </c>
    </row>
    <row r="92" spans="1:9" ht="15.75" customHeight="1" x14ac:dyDescent="0.25">
      <c r="A92" s="4">
        <v>45600</v>
      </c>
      <c r="B92" s="2" t="s">
        <v>14</v>
      </c>
      <c r="C92" s="2">
        <v>1821</v>
      </c>
      <c r="D92" s="2">
        <v>218</v>
      </c>
      <c r="E92" s="2">
        <f t="shared" si="2"/>
        <v>1603</v>
      </c>
      <c r="F92" s="2">
        <v>439080</v>
      </c>
      <c r="G92" s="2">
        <v>5.68</v>
      </c>
      <c r="H92" s="2">
        <v>36095</v>
      </c>
      <c r="I92">
        <f t="shared" si="3"/>
        <v>860.75</v>
      </c>
    </row>
    <row r="93" spans="1:9" ht="15.75" customHeight="1" x14ac:dyDescent="0.25">
      <c r="A93" s="4">
        <v>45600</v>
      </c>
      <c r="B93" s="2" t="s">
        <v>25</v>
      </c>
      <c r="C93" s="2">
        <v>1507</v>
      </c>
      <c r="D93" s="2">
        <v>463</v>
      </c>
      <c r="E93" s="2">
        <f t="shared" si="2"/>
        <v>1044</v>
      </c>
      <c r="F93" s="2">
        <v>258944</v>
      </c>
      <c r="G93" s="2">
        <v>6.08</v>
      </c>
      <c r="H93" s="2">
        <v>16443</v>
      </c>
      <c r="I93">
        <f t="shared" si="3"/>
        <v>747.5</v>
      </c>
    </row>
    <row r="94" spans="1:9" ht="15.75" customHeight="1" x14ac:dyDescent="0.25">
      <c r="A94" s="4">
        <v>45607</v>
      </c>
      <c r="B94" s="2" t="s">
        <v>30</v>
      </c>
      <c r="C94" s="2">
        <v>1075</v>
      </c>
      <c r="D94" s="2">
        <v>173</v>
      </c>
      <c r="E94" s="2">
        <f t="shared" si="2"/>
        <v>902</v>
      </c>
      <c r="F94" s="2">
        <v>51395</v>
      </c>
      <c r="G94" s="2">
        <v>4.66</v>
      </c>
      <c r="H94" s="2">
        <v>47812</v>
      </c>
      <c r="I94">
        <f t="shared" si="3"/>
        <v>573.75</v>
      </c>
    </row>
    <row r="95" spans="1:9" ht="15.75" customHeight="1" x14ac:dyDescent="0.25">
      <c r="A95" s="4">
        <v>45607</v>
      </c>
      <c r="B95" s="2" t="s">
        <v>38</v>
      </c>
      <c r="C95" s="2">
        <v>171</v>
      </c>
      <c r="D95" s="2">
        <v>277</v>
      </c>
      <c r="E95" s="2">
        <f t="shared" si="2"/>
        <v>-106</v>
      </c>
      <c r="F95" s="2">
        <v>309483</v>
      </c>
      <c r="G95" s="2">
        <v>8.6999999999999993</v>
      </c>
      <c r="H95" s="2">
        <v>38452</v>
      </c>
      <c r="I95">
        <f t="shared" si="3"/>
        <v>336</v>
      </c>
    </row>
    <row r="96" spans="1:9" ht="15.75" customHeight="1" x14ac:dyDescent="0.25">
      <c r="A96" s="4">
        <v>45607</v>
      </c>
      <c r="B96" s="2" t="s">
        <v>14</v>
      </c>
      <c r="C96" s="2">
        <v>1487</v>
      </c>
      <c r="D96" s="2">
        <v>337</v>
      </c>
      <c r="E96" s="2">
        <f t="shared" si="2"/>
        <v>1150</v>
      </c>
      <c r="F96" s="2">
        <v>87305</v>
      </c>
      <c r="G96" s="2">
        <v>2.46</v>
      </c>
      <c r="H96" s="2">
        <v>30428</v>
      </c>
      <c r="I96">
        <f t="shared" si="3"/>
        <v>380.5</v>
      </c>
    </row>
    <row r="97" spans="1:9" ht="15.75" customHeight="1" x14ac:dyDescent="0.25">
      <c r="A97" s="4">
        <v>45607</v>
      </c>
      <c r="B97" s="2" t="s">
        <v>25</v>
      </c>
      <c r="C97" s="2">
        <v>454</v>
      </c>
      <c r="D97" s="2">
        <v>105</v>
      </c>
      <c r="E97" s="2">
        <f t="shared" si="2"/>
        <v>349</v>
      </c>
      <c r="F97" s="2">
        <v>121091</v>
      </c>
      <c r="G97" s="2">
        <v>7.97</v>
      </c>
      <c r="H97" s="2">
        <v>9269</v>
      </c>
      <c r="I97">
        <f t="shared" si="3"/>
        <v>204.25</v>
      </c>
    </row>
    <row r="98" spans="1:9" ht="15.75" customHeight="1" x14ac:dyDescent="0.25">
      <c r="A98" s="4">
        <v>45614</v>
      </c>
      <c r="B98" s="2" t="s">
        <v>30</v>
      </c>
      <c r="C98" s="2">
        <v>187</v>
      </c>
      <c r="D98" s="2">
        <v>236</v>
      </c>
      <c r="E98" s="2">
        <f t="shared" si="2"/>
        <v>-49</v>
      </c>
      <c r="F98" s="2">
        <v>51087</v>
      </c>
      <c r="G98" s="2">
        <v>9.41</v>
      </c>
      <c r="H98" s="2">
        <v>29533</v>
      </c>
      <c r="I98">
        <f t="shared" si="3"/>
        <v>132</v>
      </c>
    </row>
    <row r="99" spans="1:9" ht="15.75" customHeight="1" x14ac:dyDescent="0.25">
      <c r="A99" s="4">
        <v>45614</v>
      </c>
      <c r="B99" s="2" t="s">
        <v>38</v>
      </c>
      <c r="C99" s="2">
        <v>513</v>
      </c>
      <c r="D99" s="2">
        <v>441</v>
      </c>
      <c r="E99" s="2">
        <f t="shared" si="2"/>
        <v>72</v>
      </c>
      <c r="F99" s="2">
        <v>338847</v>
      </c>
      <c r="G99" s="2">
        <v>2.68</v>
      </c>
      <c r="H99" s="2">
        <v>39997</v>
      </c>
      <c r="I99">
        <f t="shared" si="3"/>
        <v>567.5</v>
      </c>
    </row>
    <row r="100" spans="1:9" ht="15.75" customHeight="1" x14ac:dyDescent="0.25">
      <c r="A100" s="4">
        <v>45614</v>
      </c>
      <c r="B100" s="2" t="s">
        <v>14</v>
      </c>
      <c r="C100" s="2">
        <v>628</v>
      </c>
      <c r="D100" s="2">
        <v>183</v>
      </c>
      <c r="E100" s="2">
        <f t="shared" si="2"/>
        <v>445</v>
      </c>
      <c r="F100" s="2">
        <v>487523</v>
      </c>
      <c r="G100" s="2">
        <v>7.32</v>
      </c>
      <c r="H100" s="2">
        <v>5391</v>
      </c>
      <c r="I100">
        <f t="shared" si="3"/>
        <v>882.5</v>
      </c>
    </row>
    <row r="101" spans="1:9" ht="15.75" customHeight="1" x14ac:dyDescent="0.25">
      <c r="A101" s="4">
        <v>45614</v>
      </c>
      <c r="B101" s="2" t="s">
        <v>25</v>
      </c>
      <c r="C101" s="2">
        <v>278</v>
      </c>
      <c r="D101" s="2">
        <v>218</v>
      </c>
      <c r="E101" s="2">
        <f t="shared" si="2"/>
        <v>60</v>
      </c>
      <c r="F101" s="2">
        <v>301695</v>
      </c>
      <c r="G101" s="2">
        <v>4.68</v>
      </c>
      <c r="H101" s="2">
        <v>22373</v>
      </c>
      <c r="I101">
        <f t="shared" si="3"/>
        <v>795.75</v>
      </c>
    </row>
    <row r="102" spans="1:9" ht="15.75" customHeight="1" x14ac:dyDescent="0.25">
      <c r="A102" s="4">
        <v>45621</v>
      </c>
      <c r="B102" s="2" t="s">
        <v>30</v>
      </c>
      <c r="C102" s="2">
        <v>1854</v>
      </c>
      <c r="D102" s="2">
        <v>161</v>
      </c>
      <c r="E102" s="2">
        <f t="shared" si="2"/>
        <v>1693</v>
      </c>
      <c r="F102" s="2">
        <v>282466</v>
      </c>
      <c r="G102" s="2">
        <v>5.17</v>
      </c>
      <c r="H102" s="2">
        <v>1810</v>
      </c>
      <c r="I102">
        <f t="shared" si="3"/>
        <v>1002</v>
      </c>
    </row>
    <row r="103" spans="1:9" ht="15.75" customHeight="1" x14ac:dyDescent="0.25">
      <c r="A103" s="4">
        <v>45621</v>
      </c>
      <c r="B103" s="2" t="s">
        <v>38</v>
      </c>
      <c r="C103" s="2">
        <v>1710</v>
      </c>
      <c r="D103" s="2">
        <v>378</v>
      </c>
      <c r="E103" s="2">
        <f t="shared" si="2"/>
        <v>1332</v>
      </c>
      <c r="F103" s="2">
        <v>336661</v>
      </c>
      <c r="G103" s="2">
        <v>6.2</v>
      </c>
      <c r="H103" s="2">
        <v>28498</v>
      </c>
      <c r="I103">
        <f t="shared" si="3"/>
        <v>985</v>
      </c>
    </row>
    <row r="104" spans="1:9" ht="15.75" customHeight="1" x14ac:dyDescent="0.25">
      <c r="A104" s="4">
        <v>45621</v>
      </c>
      <c r="B104" s="2" t="s">
        <v>14</v>
      </c>
      <c r="C104" s="2">
        <v>330</v>
      </c>
      <c r="D104" s="2">
        <v>232</v>
      </c>
      <c r="E104" s="2">
        <f t="shared" si="2"/>
        <v>98</v>
      </c>
      <c r="F104" s="2">
        <v>88455</v>
      </c>
      <c r="G104" s="2">
        <v>2.69</v>
      </c>
      <c r="H104" s="2">
        <v>39530</v>
      </c>
      <c r="I104">
        <f t="shared" si="3"/>
        <v>1078.5</v>
      </c>
    </row>
    <row r="105" spans="1:9" ht="15.75" customHeight="1" x14ac:dyDescent="0.25">
      <c r="A105" s="4">
        <v>45621</v>
      </c>
      <c r="B105" s="2" t="s">
        <v>25</v>
      </c>
      <c r="C105" s="2">
        <v>1293</v>
      </c>
      <c r="D105" s="2">
        <v>408</v>
      </c>
      <c r="E105" s="2">
        <f t="shared" si="2"/>
        <v>885</v>
      </c>
      <c r="F105" s="2">
        <v>62535</v>
      </c>
      <c r="G105" s="2">
        <v>8.9</v>
      </c>
      <c r="H105" s="2">
        <v>37876</v>
      </c>
      <c r="I105">
        <f t="shared" si="3"/>
        <v>1347.25</v>
      </c>
    </row>
    <row r="106" spans="1:9" ht="15.75" customHeight="1" x14ac:dyDescent="0.25">
      <c r="A106" s="4">
        <v>45628</v>
      </c>
      <c r="B106" s="2" t="s">
        <v>30</v>
      </c>
      <c r="C106" s="2">
        <v>1696</v>
      </c>
      <c r="D106" s="2">
        <v>71</v>
      </c>
      <c r="E106" s="2">
        <f t="shared" si="2"/>
        <v>1625</v>
      </c>
      <c r="F106" s="2">
        <v>421957</v>
      </c>
      <c r="G106" s="2">
        <v>3.79</v>
      </c>
      <c r="H106" s="2">
        <v>36103</v>
      </c>
      <c r="I106">
        <f t="shared" si="3"/>
        <v>1198.75</v>
      </c>
    </row>
    <row r="107" spans="1:9" ht="15.75" customHeight="1" x14ac:dyDescent="0.25">
      <c r="A107" s="4">
        <v>45628</v>
      </c>
      <c r="B107" s="2" t="s">
        <v>38</v>
      </c>
      <c r="C107" s="2">
        <v>1902</v>
      </c>
      <c r="D107" s="2">
        <v>196</v>
      </c>
      <c r="E107" s="2">
        <f t="shared" si="2"/>
        <v>1706</v>
      </c>
      <c r="F107" s="2">
        <v>470269</v>
      </c>
      <c r="G107" s="2">
        <v>4.79</v>
      </c>
      <c r="H107" s="2">
        <v>26103</v>
      </c>
      <c r="I107">
        <f t="shared" si="3"/>
        <v>1072.25</v>
      </c>
    </row>
    <row r="108" spans="1:9" ht="15.75" customHeight="1" x14ac:dyDescent="0.25">
      <c r="A108" s="4">
        <v>45628</v>
      </c>
      <c r="B108" s="2" t="s">
        <v>14</v>
      </c>
      <c r="C108" s="2">
        <v>1441</v>
      </c>
      <c r="D108" s="2">
        <v>268</v>
      </c>
      <c r="E108" s="2">
        <f t="shared" si="2"/>
        <v>1173</v>
      </c>
      <c r="F108" s="2">
        <v>309904</v>
      </c>
      <c r="G108" s="2">
        <v>6.37</v>
      </c>
      <c r="H108" s="2">
        <v>3455</v>
      </c>
      <c r="I108">
        <f t="shared" si="3"/>
        <v>989</v>
      </c>
    </row>
    <row r="109" spans="1:9" ht="15.75" customHeight="1" x14ac:dyDescent="0.25">
      <c r="A109" s="4">
        <v>45628</v>
      </c>
      <c r="B109" s="2" t="s">
        <v>25</v>
      </c>
      <c r="C109" s="2">
        <v>452</v>
      </c>
      <c r="D109" s="2">
        <v>161</v>
      </c>
      <c r="E109" s="2">
        <f t="shared" si="2"/>
        <v>291</v>
      </c>
      <c r="F109" s="2">
        <v>221274</v>
      </c>
      <c r="G109" s="2">
        <v>2.65</v>
      </c>
      <c r="H109" s="2">
        <v>40888</v>
      </c>
      <c r="I109">
        <f t="shared" si="3"/>
        <v>1127.5</v>
      </c>
    </row>
    <row r="110" spans="1:9" ht="15.75" customHeight="1" x14ac:dyDescent="0.25">
      <c r="A110" s="4">
        <v>45635</v>
      </c>
      <c r="B110" s="2" t="s">
        <v>30</v>
      </c>
      <c r="C110" s="2">
        <v>1494</v>
      </c>
      <c r="D110" s="2">
        <v>375</v>
      </c>
      <c r="E110" s="2">
        <f t="shared" si="2"/>
        <v>1119</v>
      </c>
      <c r="F110" s="2">
        <v>220616</v>
      </c>
      <c r="G110" s="2">
        <v>1.81</v>
      </c>
      <c r="H110" s="2">
        <v>22724</v>
      </c>
      <c r="I110">
        <f t="shared" si="3"/>
        <v>1198</v>
      </c>
    </row>
    <row r="111" spans="1:9" ht="15.75" customHeight="1" x14ac:dyDescent="0.25">
      <c r="A111" s="4">
        <v>45635</v>
      </c>
      <c r="B111" s="2" t="s">
        <v>38</v>
      </c>
      <c r="C111" s="2">
        <v>1514</v>
      </c>
      <c r="D111" s="2">
        <v>141</v>
      </c>
      <c r="E111" s="2">
        <f t="shared" si="2"/>
        <v>1373</v>
      </c>
      <c r="F111" s="2">
        <v>35842</v>
      </c>
      <c r="G111" s="2">
        <v>7.47</v>
      </c>
      <c r="H111" s="2">
        <v>18601</v>
      </c>
      <c r="I111">
        <f t="shared" si="3"/>
        <v>1276.25</v>
      </c>
    </row>
    <row r="112" spans="1:9" ht="15.75" customHeight="1" x14ac:dyDescent="0.25">
      <c r="A112" s="4">
        <v>45635</v>
      </c>
      <c r="B112" s="2" t="s">
        <v>14</v>
      </c>
      <c r="C112" s="2">
        <v>1937</v>
      </c>
      <c r="D112" s="2">
        <v>210</v>
      </c>
      <c r="E112" s="2">
        <f t="shared" si="2"/>
        <v>1727</v>
      </c>
      <c r="F112" s="2">
        <v>20607</v>
      </c>
      <c r="G112" s="2">
        <v>4.2</v>
      </c>
      <c r="H112" s="2">
        <v>20861</v>
      </c>
      <c r="I112">
        <f t="shared" si="3"/>
        <v>1277.25</v>
      </c>
    </row>
    <row r="113" spans="1:9" ht="15.75" customHeight="1" x14ac:dyDescent="0.25">
      <c r="A113" s="4">
        <v>45635</v>
      </c>
      <c r="B113" s="2" t="s">
        <v>25</v>
      </c>
      <c r="C113" s="2">
        <v>736</v>
      </c>
      <c r="D113" s="2">
        <v>163</v>
      </c>
      <c r="E113" s="2">
        <f t="shared" si="2"/>
        <v>573</v>
      </c>
      <c r="F113" s="2">
        <v>451894</v>
      </c>
      <c r="G113" s="2">
        <v>5.43</v>
      </c>
      <c r="H113" s="2">
        <v>46625</v>
      </c>
      <c r="I113">
        <f t="shared" si="3"/>
        <v>1185.25</v>
      </c>
    </row>
    <row r="114" spans="1:9" ht="15.75" customHeight="1" x14ac:dyDescent="0.25">
      <c r="A114" s="4">
        <v>45642</v>
      </c>
      <c r="B114" s="2" t="s">
        <v>30</v>
      </c>
      <c r="C114" s="2">
        <v>1502</v>
      </c>
      <c r="D114" s="2">
        <v>70</v>
      </c>
      <c r="E114" s="2">
        <f t="shared" si="2"/>
        <v>1432</v>
      </c>
      <c r="F114" s="2">
        <v>465553</v>
      </c>
      <c r="G114" s="2">
        <v>3.32</v>
      </c>
      <c r="H114" s="2">
        <v>20692</v>
      </c>
      <c r="I114">
        <f t="shared" si="3"/>
        <v>1261</v>
      </c>
    </row>
    <row r="115" spans="1:9" ht="15.75" customHeight="1" x14ac:dyDescent="0.25">
      <c r="A115" s="4">
        <v>45642</v>
      </c>
      <c r="B115" s="2" t="s">
        <v>38</v>
      </c>
      <c r="C115" s="2">
        <v>1623</v>
      </c>
      <c r="D115" s="2">
        <v>246</v>
      </c>
      <c r="E115" s="2">
        <f t="shared" si="2"/>
        <v>1377</v>
      </c>
      <c r="F115" s="2">
        <v>415815</v>
      </c>
      <c r="G115" s="2">
        <v>8.11</v>
      </c>
      <c r="H115" s="2">
        <v>18656</v>
      </c>
      <c r="I115">
        <f t="shared" si="3"/>
        <v>1074</v>
      </c>
    </row>
    <row r="116" spans="1:9" ht="15.75" customHeight="1" x14ac:dyDescent="0.25">
      <c r="A116" s="4">
        <v>45642</v>
      </c>
      <c r="B116" s="2" t="s">
        <v>14</v>
      </c>
      <c r="C116" s="2">
        <v>1592</v>
      </c>
      <c r="D116" s="2">
        <v>233</v>
      </c>
      <c r="E116" s="2">
        <f t="shared" si="2"/>
        <v>1359</v>
      </c>
      <c r="F116" s="2">
        <v>327183</v>
      </c>
      <c r="G116" s="2">
        <v>6.66</v>
      </c>
      <c r="H116" s="2">
        <v>13316</v>
      </c>
      <c r="I116">
        <f t="shared" si="3"/>
        <v>912.25</v>
      </c>
    </row>
    <row r="117" spans="1:9" ht="15.75" customHeight="1" x14ac:dyDescent="0.25">
      <c r="A117" s="4">
        <v>45642</v>
      </c>
      <c r="B117" s="2" t="s">
        <v>25</v>
      </c>
      <c r="C117" s="2">
        <v>1004</v>
      </c>
      <c r="D117" s="2">
        <v>128</v>
      </c>
      <c r="E117" s="2">
        <f t="shared" si="2"/>
        <v>876</v>
      </c>
      <c r="F117" s="2">
        <v>488901</v>
      </c>
      <c r="G117" s="2">
        <v>8.09</v>
      </c>
      <c r="H117" s="2">
        <v>49558</v>
      </c>
      <c r="I117">
        <f t="shared" si="3"/>
        <v>800.25</v>
      </c>
    </row>
    <row r="118" spans="1:9" ht="15.75" customHeight="1" x14ac:dyDescent="0.25">
      <c r="A118" s="4">
        <v>45649</v>
      </c>
      <c r="B118" s="2" t="s">
        <v>30</v>
      </c>
      <c r="C118" s="2">
        <v>1092</v>
      </c>
      <c r="D118" s="2">
        <v>408</v>
      </c>
      <c r="E118" s="2">
        <f t="shared" si="2"/>
        <v>684</v>
      </c>
      <c r="F118" s="2">
        <v>280795</v>
      </c>
      <c r="G118" s="2">
        <v>8.44</v>
      </c>
      <c r="H118" s="2">
        <v>4683</v>
      </c>
      <c r="I118">
        <f t="shared" si="3"/>
        <v>978.5</v>
      </c>
    </row>
    <row r="119" spans="1:9" ht="15.75" customHeight="1" x14ac:dyDescent="0.25">
      <c r="A119" s="4">
        <v>45649</v>
      </c>
      <c r="B119" s="2" t="s">
        <v>38</v>
      </c>
      <c r="C119" s="2">
        <v>1155</v>
      </c>
      <c r="D119" s="2">
        <v>425</v>
      </c>
      <c r="E119" s="2">
        <f t="shared" si="2"/>
        <v>730</v>
      </c>
      <c r="F119" s="2">
        <v>93347</v>
      </c>
      <c r="G119" s="2">
        <v>2.02</v>
      </c>
      <c r="H119" s="2">
        <v>47502</v>
      </c>
      <c r="I119">
        <f t="shared" si="3"/>
        <v>1248.75</v>
      </c>
    </row>
    <row r="120" spans="1:9" ht="15.75" customHeight="1" x14ac:dyDescent="0.25">
      <c r="A120" s="4">
        <v>45649</v>
      </c>
      <c r="B120" s="2" t="s">
        <v>14</v>
      </c>
      <c r="C120" s="2">
        <v>1137</v>
      </c>
      <c r="D120" s="2">
        <v>226</v>
      </c>
      <c r="E120" s="2">
        <f t="shared" si="2"/>
        <v>911</v>
      </c>
      <c r="F120" s="2">
        <v>81119</v>
      </c>
      <c r="G120" s="2">
        <v>7.74</v>
      </c>
      <c r="H120" s="2">
        <v>35359</v>
      </c>
      <c r="I120">
        <f t="shared" si="3"/>
        <v>1510.25</v>
      </c>
    </row>
    <row r="121" spans="1:9" ht="15.75" customHeight="1" x14ac:dyDescent="0.25">
      <c r="A121" s="4">
        <v>45649</v>
      </c>
      <c r="B121" s="2" t="s">
        <v>25</v>
      </c>
      <c r="C121" s="2">
        <v>1900</v>
      </c>
      <c r="D121" s="2">
        <v>311</v>
      </c>
      <c r="E121" s="2">
        <f t="shared" si="2"/>
        <v>1589</v>
      </c>
      <c r="F121" s="2">
        <v>25177</v>
      </c>
      <c r="G121" s="2">
        <v>2.89</v>
      </c>
      <c r="H121" s="2">
        <v>14154</v>
      </c>
      <c r="I121">
        <f t="shared" si="3"/>
        <v>1664.75</v>
      </c>
    </row>
    <row r="122" spans="1:9" ht="15.75" customHeight="1" x14ac:dyDescent="0.25">
      <c r="A122" s="4">
        <v>45656</v>
      </c>
      <c r="B122" s="2" t="s">
        <v>30</v>
      </c>
      <c r="C122" s="2">
        <v>1814</v>
      </c>
      <c r="D122" s="2">
        <v>49</v>
      </c>
      <c r="E122" s="2">
        <f t="shared" si="2"/>
        <v>1765</v>
      </c>
      <c r="F122" s="2">
        <v>140804</v>
      </c>
      <c r="G122" s="2">
        <v>1.76</v>
      </c>
      <c r="H122" s="2">
        <v>4313</v>
      </c>
      <c r="I122">
        <f t="shared" si="3"/>
        <v>1632.5</v>
      </c>
    </row>
    <row r="123" spans="1:9" ht="15.75" customHeight="1" x14ac:dyDescent="0.25">
      <c r="A123" s="4">
        <v>45656</v>
      </c>
      <c r="B123" s="2" t="s">
        <v>38</v>
      </c>
      <c r="C123" s="2">
        <v>1980</v>
      </c>
      <c r="D123" s="2">
        <v>204</v>
      </c>
      <c r="E123" s="2">
        <f t="shared" si="2"/>
        <v>1776</v>
      </c>
      <c r="F123" s="2">
        <v>379431</v>
      </c>
      <c r="G123" s="2">
        <v>3.09</v>
      </c>
      <c r="H123" s="2">
        <v>25140</v>
      </c>
      <c r="I123">
        <f t="shared" si="3"/>
        <v>1417</v>
      </c>
    </row>
    <row r="124" spans="1:9" ht="15.75" customHeight="1" x14ac:dyDescent="0.25">
      <c r="A124" s="4">
        <v>45656</v>
      </c>
      <c r="B124" s="2" t="s">
        <v>14</v>
      </c>
      <c r="C124" s="2">
        <v>1786</v>
      </c>
      <c r="D124" s="2">
        <v>257</v>
      </c>
      <c r="E124" s="2">
        <f t="shared" si="2"/>
        <v>1529</v>
      </c>
      <c r="F124" s="2">
        <v>274831</v>
      </c>
      <c r="G124" s="2">
        <v>4.68</v>
      </c>
      <c r="H124" s="2">
        <v>9118</v>
      </c>
      <c r="I124">
        <f t="shared" si="3"/>
        <v>1128</v>
      </c>
    </row>
    <row r="125" spans="1:9" ht="15.75" customHeight="1" x14ac:dyDescent="0.25">
      <c r="A125" s="4">
        <v>45656</v>
      </c>
      <c r="B125" s="2" t="s">
        <v>25</v>
      </c>
      <c r="C125" s="2">
        <v>1495</v>
      </c>
      <c r="D125" s="2">
        <v>35</v>
      </c>
      <c r="E125" s="2">
        <f t="shared" si="2"/>
        <v>1460</v>
      </c>
      <c r="F125" s="2">
        <v>136845</v>
      </c>
      <c r="G125" s="2">
        <v>4.4800000000000004</v>
      </c>
      <c r="H125" s="2">
        <v>39931</v>
      </c>
      <c r="I125">
        <f t="shared" si="3"/>
        <v>1042.75</v>
      </c>
    </row>
    <row r="126" spans="1:9" ht="15.75" customHeight="1" x14ac:dyDescent="0.25">
      <c r="A126" s="4">
        <v>45663</v>
      </c>
      <c r="B126" s="2" t="s">
        <v>30</v>
      </c>
      <c r="C126" s="2">
        <v>1013</v>
      </c>
      <c r="D126" s="2">
        <v>110</v>
      </c>
      <c r="E126" s="2">
        <f t="shared" si="2"/>
        <v>903</v>
      </c>
      <c r="F126" s="2">
        <v>466382</v>
      </c>
      <c r="G126" s="2">
        <v>5.3</v>
      </c>
      <c r="H126" s="2">
        <v>37132</v>
      </c>
      <c r="I126">
        <f t="shared" si="3"/>
        <v>889.25</v>
      </c>
    </row>
    <row r="127" spans="1:9" ht="15.75" customHeight="1" x14ac:dyDescent="0.25">
      <c r="A127" s="4">
        <v>45663</v>
      </c>
      <c r="B127" s="2" t="s">
        <v>38</v>
      </c>
      <c r="C127" s="2">
        <v>816</v>
      </c>
      <c r="D127" s="2">
        <v>196</v>
      </c>
      <c r="E127" s="2">
        <f t="shared" si="2"/>
        <v>620</v>
      </c>
      <c r="F127" s="2">
        <v>95728</v>
      </c>
      <c r="G127" s="2">
        <v>8.1999999999999993</v>
      </c>
      <c r="H127" s="2">
        <v>17951</v>
      </c>
      <c r="I127">
        <f t="shared" si="3"/>
        <v>1094</v>
      </c>
    </row>
    <row r="128" spans="1:9" ht="15.75" customHeight="1" x14ac:dyDescent="0.25">
      <c r="A128" s="4">
        <v>45663</v>
      </c>
      <c r="B128" s="2" t="s">
        <v>14</v>
      </c>
      <c r="C128" s="2">
        <v>1633</v>
      </c>
      <c r="D128" s="2">
        <v>445</v>
      </c>
      <c r="E128" s="2">
        <f t="shared" si="2"/>
        <v>1188</v>
      </c>
      <c r="F128" s="2">
        <v>371156</v>
      </c>
      <c r="G128" s="2">
        <v>2.2200000000000002</v>
      </c>
      <c r="H128" s="2">
        <v>2798</v>
      </c>
      <c r="I128">
        <f t="shared" si="3"/>
        <v>1013.5</v>
      </c>
    </row>
    <row r="129" spans="1:9" ht="15.75" customHeight="1" x14ac:dyDescent="0.25">
      <c r="A129" s="4">
        <v>45663</v>
      </c>
      <c r="B129" s="2" t="s">
        <v>25</v>
      </c>
      <c r="C129" s="2">
        <v>891</v>
      </c>
      <c r="D129" s="2">
        <v>45</v>
      </c>
      <c r="E129" s="2">
        <f t="shared" si="2"/>
        <v>846</v>
      </c>
      <c r="F129" s="2">
        <v>95410</v>
      </c>
      <c r="G129" s="2">
        <v>8.33</v>
      </c>
      <c r="H129" s="2">
        <v>15045</v>
      </c>
      <c r="I129">
        <f t="shared" si="3"/>
        <v>680.5</v>
      </c>
    </row>
    <row r="130" spans="1:9" ht="15.75" customHeight="1" x14ac:dyDescent="0.25">
      <c r="A130" s="4">
        <v>45670</v>
      </c>
      <c r="B130" s="2" t="s">
        <v>30</v>
      </c>
      <c r="C130" s="2">
        <v>1855</v>
      </c>
      <c r="D130" s="2">
        <v>133</v>
      </c>
      <c r="E130" s="2">
        <f t="shared" si="2"/>
        <v>1722</v>
      </c>
      <c r="F130" s="2">
        <v>349413</v>
      </c>
      <c r="G130" s="2">
        <v>3.3</v>
      </c>
      <c r="H130" s="2">
        <v>14548</v>
      </c>
      <c r="I130">
        <f t="shared" si="3"/>
        <v>694.25</v>
      </c>
    </row>
    <row r="131" spans="1:9" ht="15.75" customHeight="1" x14ac:dyDescent="0.25">
      <c r="A131" s="4">
        <v>45670</v>
      </c>
      <c r="B131" s="2" t="s">
        <v>38</v>
      </c>
      <c r="C131" s="2">
        <v>651</v>
      </c>
      <c r="D131" s="2">
        <v>353</v>
      </c>
      <c r="E131" s="2">
        <f t="shared" ref="E131:E194" si="4">C131-D131</f>
        <v>298</v>
      </c>
      <c r="F131" s="2">
        <v>224699</v>
      </c>
      <c r="G131" s="2">
        <v>5.61</v>
      </c>
      <c r="H131" s="2">
        <v>45708</v>
      </c>
      <c r="I131">
        <f t="shared" ref="I131:I194" si="5">AVERAGE(E131:E134)</f>
        <v>656.75</v>
      </c>
    </row>
    <row r="132" spans="1:9" ht="15.75" customHeight="1" x14ac:dyDescent="0.25">
      <c r="A132" s="4">
        <v>45670</v>
      </c>
      <c r="B132" s="2" t="s">
        <v>14</v>
      </c>
      <c r="C132" s="2">
        <v>118</v>
      </c>
      <c r="D132" s="2">
        <v>262</v>
      </c>
      <c r="E132" s="2">
        <f t="shared" si="4"/>
        <v>-144</v>
      </c>
      <c r="F132" s="2">
        <v>487896</v>
      </c>
      <c r="G132" s="2">
        <v>2.56</v>
      </c>
      <c r="H132" s="2">
        <v>12350</v>
      </c>
      <c r="I132">
        <f t="shared" si="5"/>
        <v>689</v>
      </c>
    </row>
    <row r="133" spans="1:9" ht="15.75" customHeight="1" x14ac:dyDescent="0.25">
      <c r="A133" s="4">
        <v>45670</v>
      </c>
      <c r="B133" s="2" t="s">
        <v>25</v>
      </c>
      <c r="C133" s="2">
        <v>1331</v>
      </c>
      <c r="D133" s="2">
        <v>430</v>
      </c>
      <c r="E133" s="2">
        <f t="shared" si="4"/>
        <v>901</v>
      </c>
      <c r="F133" s="2">
        <v>14437</v>
      </c>
      <c r="G133" s="2">
        <v>3.29</v>
      </c>
      <c r="H133" s="2">
        <v>40868</v>
      </c>
      <c r="I133">
        <f t="shared" si="5"/>
        <v>947.75</v>
      </c>
    </row>
    <row r="134" spans="1:9" ht="15.75" customHeight="1" x14ac:dyDescent="0.25">
      <c r="A134" s="4">
        <v>45677</v>
      </c>
      <c r="B134" s="2" t="s">
        <v>30</v>
      </c>
      <c r="C134" s="2">
        <v>1748</v>
      </c>
      <c r="D134" s="2">
        <v>176</v>
      </c>
      <c r="E134" s="2">
        <f t="shared" si="4"/>
        <v>1572</v>
      </c>
      <c r="F134" s="2">
        <v>383681</v>
      </c>
      <c r="G134" s="2">
        <v>9.24</v>
      </c>
      <c r="H134" s="2">
        <v>43122</v>
      </c>
      <c r="I134">
        <f t="shared" si="5"/>
        <v>903.5</v>
      </c>
    </row>
    <row r="135" spans="1:9" ht="15.75" customHeight="1" x14ac:dyDescent="0.25">
      <c r="A135" s="4">
        <v>45677</v>
      </c>
      <c r="B135" s="2" t="s">
        <v>38</v>
      </c>
      <c r="C135" s="2">
        <v>663</v>
      </c>
      <c r="D135" s="2">
        <v>236</v>
      </c>
      <c r="E135" s="2">
        <f t="shared" si="4"/>
        <v>427</v>
      </c>
      <c r="F135" s="2">
        <v>479490</v>
      </c>
      <c r="G135" s="2">
        <v>4.51</v>
      </c>
      <c r="H135" s="2">
        <v>23853</v>
      </c>
      <c r="I135">
        <f t="shared" si="5"/>
        <v>469</v>
      </c>
    </row>
    <row r="136" spans="1:9" ht="15.75" customHeight="1" x14ac:dyDescent="0.25">
      <c r="A136" s="4">
        <v>45677</v>
      </c>
      <c r="B136" s="2" t="s">
        <v>14</v>
      </c>
      <c r="C136" s="2">
        <v>1040</v>
      </c>
      <c r="D136" s="2">
        <v>149</v>
      </c>
      <c r="E136" s="2">
        <f t="shared" si="4"/>
        <v>891</v>
      </c>
      <c r="F136" s="2">
        <v>124404</v>
      </c>
      <c r="G136" s="2">
        <v>5.23</v>
      </c>
      <c r="H136" s="2">
        <v>45380</v>
      </c>
      <c r="I136">
        <f t="shared" si="5"/>
        <v>586.75</v>
      </c>
    </row>
    <row r="137" spans="1:9" ht="15.75" customHeight="1" x14ac:dyDescent="0.25">
      <c r="A137" s="4">
        <v>45677</v>
      </c>
      <c r="B137" s="2" t="s">
        <v>25</v>
      </c>
      <c r="C137" s="2">
        <v>1166</v>
      </c>
      <c r="D137" s="2">
        <v>442</v>
      </c>
      <c r="E137" s="2">
        <f t="shared" si="4"/>
        <v>724</v>
      </c>
      <c r="F137" s="2">
        <v>336949</v>
      </c>
      <c r="G137" s="2">
        <v>4.68</v>
      </c>
      <c r="H137" s="2">
        <v>7705</v>
      </c>
      <c r="I137">
        <f t="shared" si="5"/>
        <v>720.5</v>
      </c>
    </row>
    <row r="138" spans="1:9" ht="15.75" customHeight="1" x14ac:dyDescent="0.25">
      <c r="A138" s="4">
        <v>45684</v>
      </c>
      <c r="B138" s="2" t="s">
        <v>30</v>
      </c>
      <c r="C138" s="2">
        <v>115</v>
      </c>
      <c r="D138" s="2">
        <v>281</v>
      </c>
      <c r="E138" s="2">
        <f t="shared" si="4"/>
        <v>-166</v>
      </c>
      <c r="F138" s="2">
        <v>357265</v>
      </c>
      <c r="G138" s="2">
        <v>9.23</v>
      </c>
      <c r="H138" s="2">
        <v>25525</v>
      </c>
      <c r="I138">
        <f t="shared" si="5"/>
        <v>845.75</v>
      </c>
    </row>
    <row r="139" spans="1:9" ht="15.75" customHeight="1" x14ac:dyDescent="0.25">
      <c r="A139" s="4">
        <v>45684</v>
      </c>
      <c r="B139" s="2" t="s">
        <v>38</v>
      </c>
      <c r="C139" s="2">
        <v>1249</v>
      </c>
      <c r="D139" s="2">
        <v>351</v>
      </c>
      <c r="E139" s="2">
        <f t="shared" si="4"/>
        <v>898</v>
      </c>
      <c r="F139" s="2">
        <v>321307</v>
      </c>
      <c r="G139" s="2">
        <v>6.37</v>
      </c>
      <c r="H139" s="2">
        <v>20560</v>
      </c>
      <c r="I139">
        <f t="shared" si="5"/>
        <v>1157.25</v>
      </c>
    </row>
    <row r="140" spans="1:9" ht="15.75" customHeight="1" x14ac:dyDescent="0.25">
      <c r="A140" s="4">
        <v>45684</v>
      </c>
      <c r="B140" s="2" t="s">
        <v>14</v>
      </c>
      <c r="C140" s="2">
        <v>1501</v>
      </c>
      <c r="D140" s="2">
        <v>75</v>
      </c>
      <c r="E140" s="2">
        <f t="shared" si="4"/>
        <v>1426</v>
      </c>
      <c r="F140" s="2">
        <v>262569</v>
      </c>
      <c r="G140" s="2">
        <v>2.0099999999999998</v>
      </c>
      <c r="H140" s="2">
        <v>19119</v>
      </c>
      <c r="I140">
        <f t="shared" si="5"/>
        <v>1119.75</v>
      </c>
    </row>
    <row r="141" spans="1:9" ht="15.75" customHeight="1" x14ac:dyDescent="0.25">
      <c r="A141" s="4">
        <v>45684</v>
      </c>
      <c r="B141" s="2" t="s">
        <v>25</v>
      </c>
      <c r="C141" s="2">
        <v>1411</v>
      </c>
      <c r="D141" s="2">
        <v>186</v>
      </c>
      <c r="E141" s="2">
        <f t="shared" si="4"/>
        <v>1225</v>
      </c>
      <c r="F141" s="2">
        <v>461669</v>
      </c>
      <c r="G141" s="2">
        <v>3.72</v>
      </c>
      <c r="H141" s="2">
        <v>43999</v>
      </c>
      <c r="I141">
        <f t="shared" si="5"/>
        <v>905.5</v>
      </c>
    </row>
    <row r="142" spans="1:9" ht="15.75" customHeight="1" x14ac:dyDescent="0.25">
      <c r="A142" s="4">
        <v>45691</v>
      </c>
      <c r="B142" s="2" t="s">
        <v>30</v>
      </c>
      <c r="C142" s="2">
        <v>1556</v>
      </c>
      <c r="D142" s="2">
        <v>476</v>
      </c>
      <c r="E142" s="2">
        <f t="shared" si="4"/>
        <v>1080</v>
      </c>
      <c r="F142" s="2">
        <v>351556</v>
      </c>
      <c r="G142" s="2">
        <v>3.89</v>
      </c>
      <c r="H142" s="2">
        <v>10825</v>
      </c>
      <c r="I142">
        <f t="shared" si="5"/>
        <v>548.5</v>
      </c>
    </row>
    <row r="143" spans="1:9" ht="15.75" customHeight="1" x14ac:dyDescent="0.25">
      <c r="A143" s="4">
        <v>45691</v>
      </c>
      <c r="B143" s="2" t="s">
        <v>38</v>
      </c>
      <c r="C143" s="2">
        <v>1159</v>
      </c>
      <c r="D143" s="2">
        <v>411</v>
      </c>
      <c r="E143" s="2">
        <f t="shared" si="4"/>
        <v>748</v>
      </c>
      <c r="F143" s="2">
        <v>135987</v>
      </c>
      <c r="G143" s="2">
        <v>8.6999999999999993</v>
      </c>
      <c r="H143" s="2">
        <v>40323</v>
      </c>
      <c r="I143">
        <f t="shared" si="5"/>
        <v>709.25</v>
      </c>
    </row>
    <row r="144" spans="1:9" ht="15.75" customHeight="1" x14ac:dyDescent="0.25">
      <c r="A144" s="4">
        <v>45691</v>
      </c>
      <c r="B144" s="2" t="s">
        <v>14</v>
      </c>
      <c r="C144" s="2">
        <v>927</v>
      </c>
      <c r="D144" s="2">
        <v>358</v>
      </c>
      <c r="E144" s="2">
        <f t="shared" si="4"/>
        <v>569</v>
      </c>
      <c r="F144" s="2">
        <v>177554</v>
      </c>
      <c r="G144" s="2">
        <v>6.95</v>
      </c>
      <c r="H144" s="2">
        <v>48270</v>
      </c>
      <c r="I144">
        <f t="shared" si="5"/>
        <v>750.25</v>
      </c>
    </row>
    <row r="145" spans="1:9" ht="15.75" customHeight="1" x14ac:dyDescent="0.25">
      <c r="A145" s="4">
        <v>45691</v>
      </c>
      <c r="B145" s="2" t="s">
        <v>25</v>
      </c>
      <c r="C145" s="2">
        <v>152</v>
      </c>
      <c r="D145" s="2">
        <v>355</v>
      </c>
      <c r="E145" s="2">
        <f t="shared" si="4"/>
        <v>-203</v>
      </c>
      <c r="F145" s="2">
        <v>270766</v>
      </c>
      <c r="G145" s="2">
        <v>9.48</v>
      </c>
      <c r="H145" s="2">
        <v>18001</v>
      </c>
      <c r="I145">
        <f t="shared" si="5"/>
        <v>908.5</v>
      </c>
    </row>
    <row r="146" spans="1:9" ht="15.75" customHeight="1" x14ac:dyDescent="0.25">
      <c r="A146" s="4">
        <v>45698</v>
      </c>
      <c r="B146" s="2" t="s">
        <v>30</v>
      </c>
      <c r="C146" s="2">
        <v>1957</v>
      </c>
      <c r="D146" s="2">
        <v>234</v>
      </c>
      <c r="E146" s="2">
        <f t="shared" si="4"/>
        <v>1723</v>
      </c>
      <c r="F146" s="2">
        <v>222126</v>
      </c>
      <c r="G146" s="2">
        <v>4.6100000000000003</v>
      </c>
      <c r="H146" s="2">
        <v>3314</v>
      </c>
      <c r="I146">
        <f t="shared" si="5"/>
        <v>1320.25</v>
      </c>
    </row>
    <row r="147" spans="1:9" ht="15.75" customHeight="1" x14ac:dyDescent="0.25">
      <c r="A147" s="4">
        <v>45698</v>
      </c>
      <c r="B147" s="2" t="s">
        <v>38</v>
      </c>
      <c r="C147" s="2">
        <v>1294</v>
      </c>
      <c r="D147" s="2">
        <v>382</v>
      </c>
      <c r="E147" s="2">
        <f t="shared" si="4"/>
        <v>912</v>
      </c>
      <c r="F147" s="2">
        <v>309914</v>
      </c>
      <c r="G147" s="2">
        <v>8.0299999999999994</v>
      </c>
      <c r="H147" s="2">
        <v>23489</v>
      </c>
      <c r="I147">
        <f t="shared" si="5"/>
        <v>1130.75</v>
      </c>
    </row>
    <row r="148" spans="1:9" ht="15.75" customHeight="1" x14ac:dyDescent="0.25">
      <c r="A148" s="4">
        <v>45698</v>
      </c>
      <c r="B148" s="2" t="s">
        <v>14</v>
      </c>
      <c r="C148" s="2">
        <v>1587</v>
      </c>
      <c r="D148" s="2">
        <v>385</v>
      </c>
      <c r="E148" s="2">
        <f t="shared" si="4"/>
        <v>1202</v>
      </c>
      <c r="F148" s="2">
        <v>126582</v>
      </c>
      <c r="G148" s="2">
        <v>6.99</v>
      </c>
      <c r="H148" s="2">
        <v>42832</v>
      </c>
      <c r="I148">
        <f t="shared" si="5"/>
        <v>1300.25</v>
      </c>
    </row>
    <row r="149" spans="1:9" ht="15.75" customHeight="1" x14ac:dyDescent="0.25">
      <c r="A149" s="4">
        <v>45698</v>
      </c>
      <c r="B149" s="2" t="s">
        <v>25</v>
      </c>
      <c r="C149" s="2">
        <v>1707</v>
      </c>
      <c r="D149" s="2">
        <v>263</v>
      </c>
      <c r="E149" s="2">
        <f t="shared" si="4"/>
        <v>1444</v>
      </c>
      <c r="F149" s="2">
        <v>485280</v>
      </c>
      <c r="G149" s="2">
        <v>9.0299999999999994</v>
      </c>
      <c r="H149" s="2">
        <v>24494</v>
      </c>
      <c r="I149">
        <f t="shared" si="5"/>
        <v>990.5</v>
      </c>
    </row>
    <row r="150" spans="1:9" ht="15.75" customHeight="1" x14ac:dyDescent="0.25">
      <c r="A150" s="4">
        <v>45705</v>
      </c>
      <c r="B150" s="2" t="s">
        <v>30</v>
      </c>
      <c r="C150" s="2">
        <v>1138</v>
      </c>
      <c r="D150" s="2">
        <v>173</v>
      </c>
      <c r="E150" s="2">
        <f t="shared" si="4"/>
        <v>965</v>
      </c>
      <c r="F150" s="2">
        <v>453243</v>
      </c>
      <c r="G150" s="2">
        <v>2.86</v>
      </c>
      <c r="H150" s="2">
        <v>44097</v>
      </c>
      <c r="I150">
        <f t="shared" si="5"/>
        <v>923.25</v>
      </c>
    </row>
    <row r="151" spans="1:9" ht="15.75" customHeight="1" x14ac:dyDescent="0.25">
      <c r="A151" s="4">
        <v>45705</v>
      </c>
      <c r="B151" s="2" t="s">
        <v>38</v>
      </c>
      <c r="C151" s="2">
        <v>1895</v>
      </c>
      <c r="D151" s="2">
        <v>305</v>
      </c>
      <c r="E151" s="2">
        <f t="shared" si="4"/>
        <v>1590</v>
      </c>
      <c r="F151" s="2">
        <v>104967</v>
      </c>
      <c r="G151" s="2">
        <v>3.85</v>
      </c>
      <c r="H151" s="2">
        <v>31853</v>
      </c>
      <c r="I151">
        <f t="shared" si="5"/>
        <v>1025.75</v>
      </c>
    </row>
    <row r="152" spans="1:9" ht="15.75" customHeight="1" x14ac:dyDescent="0.25">
      <c r="A152" s="4">
        <v>45705</v>
      </c>
      <c r="B152" s="2" t="s">
        <v>14</v>
      </c>
      <c r="C152" s="2">
        <v>362</v>
      </c>
      <c r="D152" s="2">
        <v>399</v>
      </c>
      <c r="E152" s="2">
        <f t="shared" si="4"/>
        <v>-37</v>
      </c>
      <c r="F152" s="2">
        <v>145608</v>
      </c>
      <c r="G152" s="2">
        <v>7.3</v>
      </c>
      <c r="H152" s="2">
        <v>37636</v>
      </c>
      <c r="I152">
        <f t="shared" si="5"/>
        <v>1055</v>
      </c>
    </row>
    <row r="153" spans="1:9" ht="15.75" customHeight="1" x14ac:dyDescent="0.25">
      <c r="A153" s="4">
        <v>45705</v>
      </c>
      <c r="B153" s="2" t="s">
        <v>25</v>
      </c>
      <c r="C153" s="2">
        <v>1662</v>
      </c>
      <c r="D153" s="2">
        <v>487</v>
      </c>
      <c r="E153" s="2">
        <f t="shared" si="4"/>
        <v>1175</v>
      </c>
      <c r="F153" s="2">
        <v>105980</v>
      </c>
      <c r="G153" s="2">
        <v>9.08</v>
      </c>
      <c r="H153" s="2">
        <v>22996</v>
      </c>
      <c r="I153">
        <f t="shared" si="5"/>
        <v>1241.25</v>
      </c>
    </row>
    <row r="154" spans="1:9" ht="15.75" customHeight="1" x14ac:dyDescent="0.25">
      <c r="A154" s="4">
        <v>45712</v>
      </c>
      <c r="B154" s="2" t="s">
        <v>30</v>
      </c>
      <c r="C154" s="2">
        <v>1440</v>
      </c>
      <c r="D154" s="2">
        <v>65</v>
      </c>
      <c r="E154" s="2">
        <f t="shared" si="4"/>
        <v>1375</v>
      </c>
      <c r="F154" s="2">
        <v>126524</v>
      </c>
      <c r="G154" s="2">
        <v>4.34</v>
      </c>
      <c r="H154" s="2">
        <v>49772</v>
      </c>
      <c r="I154">
        <f t="shared" si="5"/>
        <v>1201.5</v>
      </c>
    </row>
    <row r="155" spans="1:9" ht="15.75" customHeight="1" x14ac:dyDescent="0.25">
      <c r="A155" s="4">
        <v>45712</v>
      </c>
      <c r="B155" s="2" t="s">
        <v>38</v>
      </c>
      <c r="C155" s="2">
        <v>1884</v>
      </c>
      <c r="D155" s="2">
        <v>177</v>
      </c>
      <c r="E155" s="2">
        <f t="shared" si="4"/>
        <v>1707</v>
      </c>
      <c r="F155" s="2">
        <v>230448</v>
      </c>
      <c r="G155" s="2">
        <v>7.8</v>
      </c>
      <c r="H155" s="2">
        <v>22713</v>
      </c>
      <c r="I155">
        <f t="shared" si="5"/>
        <v>1186.5</v>
      </c>
    </row>
    <row r="156" spans="1:9" ht="15.75" customHeight="1" x14ac:dyDescent="0.25">
      <c r="A156" s="4">
        <v>45712</v>
      </c>
      <c r="B156" s="2" t="s">
        <v>14</v>
      </c>
      <c r="C156" s="2">
        <v>861</v>
      </c>
      <c r="D156" s="2">
        <v>153</v>
      </c>
      <c r="E156" s="2">
        <f t="shared" si="4"/>
        <v>708</v>
      </c>
      <c r="F156" s="2">
        <v>317007</v>
      </c>
      <c r="G156" s="2">
        <v>3.85</v>
      </c>
      <c r="H156" s="2">
        <v>8718</v>
      </c>
      <c r="I156">
        <f t="shared" si="5"/>
        <v>730</v>
      </c>
    </row>
    <row r="157" spans="1:9" ht="15.75" customHeight="1" x14ac:dyDescent="0.25">
      <c r="A157" s="4">
        <v>45712</v>
      </c>
      <c r="B157" s="2" t="s">
        <v>25</v>
      </c>
      <c r="C157" s="2">
        <v>1063</v>
      </c>
      <c r="D157" s="2">
        <v>47</v>
      </c>
      <c r="E157" s="2">
        <f t="shared" si="4"/>
        <v>1016</v>
      </c>
      <c r="F157" s="2">
        <v>464239</v>
      </c>
      <c r="G157" s="2">
        <v>6.58</v>
      </c>
      <c r="H157" s="2">
        <v>39031</v>
      </c>
      <c r="I157">
        <f t="shared" si="5"/>
        <v>777.75</v>
      </c>
    </row>
    <row r="158" spans="1:9" ht="15.75" customHeight="1" x14ac:dyDescent="0.25">
      <c r="A158" s="4">
        <v>45719</v>
      </c>
      <c r="B158" s="2" t="s">
        <v>30</v>
      </c>
      <c r="C158" s="2">
        <v>1371</v>
      </c>
      <c r="D158" s="2">
        <v>56</v>
      </c>
      <c r="E158" s="2">
        <f t="shared" si="4"/>
        <v>1315</v>
      </c>
      <c r="F158" s="2">
        <v>257579</v>
      </c>
      <c r="G158" s="2">
        <v>8.6199999999999992</v>
      </c>
      <c r="H158" s="2">
        <v>33799</v>
      </c>
      <c r="I158">
        <f t="shared" si="5"/>
        <v>602.5</v>
      </c>
    </row>
    <row r="159" spans="1:9" ht="15.75" customHeight="1" x14ac:dyDescent="0.25">
      <c r="A159" s="4">
        <v>45719</v>
      </c>
      <c r="B159" s="2" t="s">
        <v>38</v>
      </c>
      <c r="C159" s="2">
        <v>345</v>
      </c>
      <c r="D159" s="2">
        <v>464</v>
      </c>
      <c r="E159" s="2">
        <f t="shared" si="4"/>
        <v>-119</v>
      </c>
      <c r="F159" s="2">
        <v>366881</v>
      </c>
      <c r="G159" s="2">
        <v>4.55</v>
      </c>
      <c r="H159" s="2">
        <v>20553</v>
      </c>
      <c r="I159">
        <f t="shared" si="5"/>
        <v>326.75</v>
      </c>
    </row>
    <row r="160" spans="1:9" ht="15.75" customHeight="1" x14ac:dyDescent="0.25">
      <c r="A160" s="4">
        <v>45719</v>
      </c>
      <c r="B160" s="2" t="s">
        <v>14</v>
      </c>
      <c r="C160" s="2">
        <v>946</v>
      </c>
      <c r="D160" s="2">
        <v>47</v>
      </c>
      <c r="E160" s="2">
        <f t="shared" si="4"/>
        <v>899</v>
      </c>
      <c r="F160" s="2">
        <v>466575</v>
      </c>
      <c r="G160" s="2">
        <v>8.33</v>
      </c>
      <c r="H160" s="2">
        <v>10002</v>
      </c>
      <c r="I160">
        <f t="shared" si="5"/>
        <v>583.5</v>
      </c>
    </row>
    <row r="161" spans="1:9" ht="15.75" customHeight="1" x14ac:dyDescent="0.25">
      <c r="A161" s="4">
        <v>45719</v>
      </c>
      <c r="B161" s="2" t="s">
        <v>25</v>
      </c>
      <c r="C161" s="2">
        <v>510</v>
      </c>
      <c r="D161" s="2">
        <v>195</v>
      </c>
      <c r="E161" s="2">
        <f t="shared" si="4"/>
        <v>315</v>
      </c>
      <c r="F161" s="2">
        <v>224534</v>
      </c>
      <c r="G161" s="2">
        <v>9.4</v>
      </c>
      <c r="H161" s="2">
        <v>30987</v>
      </c>
      <c r="I161">
        <f t="shared" si="5"/>
        <v>696.25</v>
      </c>
    </row>
    <row r="162" spans="1:9" ht="15.75" customHeight="1" x14ac:dyDescent="0.25">
      <c r="A162" s="4">
        <v>45726</v>
      </c>
      <c r="B162" s="2" t="s">
        <v>30</v>
      </c>
      <c r="C162" s="2">
        <v>393</v>
      </c>
      <c r="D162" s="2">
        <v>181</v>
      </c>
      <c r="E162" s="2">
        <f t="shared" si="4"/>
        <v>212</v>
      </c>
      <c r="F162" s="2">
        <v>462142</v>
      </c>
      <c r="G162" s="2">
        <v>7.23</v>
      </c>
      <c r="H162" s="2">
        <v>6296</v>
      </c>
      <c r="I162">
        <f t="shared" si="5"/>
        <v>928</v>
      </c>
    </row>
    <row r="163" spans="1:9" ht="15.75" customHeight="1" x14ac:dyDescent="0.25">
      <c r="A163" s="4">
        <v>45726</v>
      </c>
      <c r="B163" s="2" t="s">
        <v>38</v>
      </c>
      <c r="C163" s="2">
        <v>1098</v>
      </c>
      <c r="D163" s="2">
        <v>190</v>
      </c>
      <c r="E163" s="2">
        <f t="shared" si="4"/>
        <v>908</v>
      </c>
      <c r="F163" s="2">
        <v>340842</v>
      </c>
      <c r="G163" s="2">
        <v>9.39</v>
      </c>
      <c r="H163" s="2">
        <v>21539</v>
      </c>
      <c r="I163">
        <f t="shared" si="5"/>
        <v>1045</v>
      </c>
    </row>
    <row r="164" spans="1:9" ht="15.75" customHeight="1" x14ac:dyDescent="0.25">
      <c r="A164" s="4">
        <v>45726</v>
      </c>
      <c r="B164" s="2" t="s">
        <v>14</v>
      </c>
      <c r="C164" s="2">
        <v>1399</v>
      </c>
      <c r="D164" s="2">
        <v>49</v>
      </c>
      <c r="E164" s="2">
        <f t="shared" si="4"/>
        <v>1350</v>
      </c>
      <c r="F164" s="2">
        <v>12471</v>
      </c>
      <c r="G164" s="2">
        <v>5.12</v>
      </c>
      <c r="H164" s="2">
        <v>14722</v>
      </c>
      <c r="I164">
        <f t="shared" si="5"/>
        <v>1097</v>
      </c>
    </row>
    <row r="165" spans="1:9" ht="15.75" customHeight="1" x14ac:dyDescent="0.25">
      <c r="A165" s="4">
        <v>45726</v>
      </c>
      <c r="B165" s="2" t="s">
        <v>25</v>
      </c>
      <c r="C165" s="2">
        <v>1658</v>
      </c>
      <c r="D165" s="2">
        <v>416</v>
      </c>
      <c r="E165" s="2">
        <f t="shared" si="4"/>
        <v>1242</v>
      </c>
      <c r="F165" s="2">
        <v>98397</v>
      </c>
      <c r="G165" s="2">
        <v>6.11</v>
      </c>
      <c r="H165" s="2">
        <v>11383</v>
      </c>
      <c r="I165">
        <f t="shared" si="5"/>
        <v>974.75</v>
      </c>
    </row>
    <row r="166" spans="1:9" ht="15.75" customHeight="1" x14ac:dyDescent="0.25">
      <c r="A166" s="4">
        <v>45733</v>
      </c>
      <c r="B166" s="2" t="s">
        <v>30</v>
      </c>
      <c r="C166" s="2">
        <v>1102</v>
      </c>
      <c r="D166" s="2">
        <v>422</v>
      </c>
      <c r="E166" s="2">
        <f t="shared" si="4"/>
        <v>680</v>
      </c>
      <c r="F166" s="2">
        <v>410330</v>
      </c>
      <c r="G166" s="2">
        <v>7.74</v>
      </c>
      <c r="H166" s="2">
        <v>9480</v>
      </c>
      <c r="I166">
        <f t="shared" si="5"/>
        <v>1010.5</v>
      </c>
    </row>
    <row r="167" spans="1:9" ht="15.75" customHeight="1" x14ac:dyDescent="0.25">
      <c r="A167" s="4">
        <v>45733</v>
      </c>
      <c r="B167" s="2" t="s">
        <v>38</v>
      </c>
      <c r="C167" s="2">
        <v>1358</v>
      </c>
      <c r="D167" s="2">
        <v>242</v>
      </c>
      <c r="E167" s="2">
        <f t="shared" si="4"/>
        <v>1116</v>
      </c>
      <c r="F167" s="2">
        <v>342129</v>
      </c>
      <c r="G167" s="2">
        <v>4.9400000000000004</v>
      </c>
      <c r="H167" s="2">
        <v>29116</v>
      </c>
      <c r="I167">
        <f t="shared" si="5"/>
        <v>955.75</v>
      </c>
    </row>
    <row r="168" spans="1:9" ht="15.75" customHeight="1" x14ac:dyDescent="0.25">
      <c r="A168" s="4">
        <v>45733</v>
      </c>
      <c r="B168" s="2" t="s">
        <v>14</v>
      </c>
      <c r="C168" s="2">
        <v>1077</v>
      </c>
      <c r="D168" s="2">
        <v>216</v>
      </c>
      <c r="E168" s="2">
        <f t="shared" si="4"/>
        <v>861</v>
      </c>
      <c r="F168" s="2">
        <v>12447</v>
      </c>
      <c r="G168" s="2">
        <v>1.8</v>
      </c>
      <c r="H168" s="2">
        <v>14068</v>
      </c>
      <c r="I168">
        <f t="shared" si="5"/>
        <v>795.25</v>
      </c>
    </row>
    <row r="169" spans="1:9" ht="15.75" customHeight="1" x14ac:dyDescent="0.25">
      <c r="A169" s="4">
        <v>45733</v>
      </c>
      <c r="B169" s="2" t="s">
        <v>25</v>
      </c>
      <c r="C169" s="2">
        <v>1596</v>
      </c>
      <c r="D169" s="2">
        <v>211</v>
      </c>
      <c r="E169" s="2">
        <f t="shared" si="4"/>
        <v>1385</v>
      </c>
      <c r="F169" s="2">
        <v>17380</v>
      </c>
      <c r="G169" s="2">
        <v>8.64</v>
      </c>
      <c r="H169" s="2">
        <v>35801</v>
      </c>
      <c r="I169">
        <f t="shared" si="5"/>
        <v>653</v>
      </c>
    </row>
    <row r="170" spans="1:9" ht="15.75" customHeight="1" x14ac:dyDescent="0.25">
      <c r="A170" s="4">
        <v>45740</v>
      </c>
      <c r="B170" s="2" t="s">
        <v>30</v>
      </c>
      <c r="C170" s="2">
        <v>490</v>
      </c>
      <c r="D170" s="2">
        <v>29</v>
      </c>
      <c r="E170" s="2">
        <f t="shared" si="4"/>
        <v>461</v>
      </c>
      <c r="F170" s="2">
        <v>364810</v>
      </c>
      <c r="G170" s="2">
        <v>1.53</v>
      </c>
      <c r="H170" s="2">
        <v>49077</v>
      </c>
      <c r="I170">
        <f t="shared" si="5"/>
        <v>404</v>
      </c>
    </row>
    <row r="171" spans="1:9" ht="15.75" customHeight="1" x14ac:dyDescent="0.25">
      <c r="A171" s="4">
        <v>45740</v>
      </c>
      <c r="B171" s="2" t="s">
        <v>38</v>
      </c>
      <c r="C171" s="2">
        <v>609</v>
      </c>
      <c r="D171" s="2">
        <v>135</v>
      </c>
      <c r="E171" s="2">
        <f t="shared" si="4"/>
        <v>474</v>
      </c>
      <c r="F171" s="2">
        <v>373606</v>
      </c>
      <c r="G171" s="2">
        <v>8.52</v>
      </c>
      <c r="H171" s="2">
        <v>21453</v>
      </c>
      <c r="I171">
        <f t="shared" si="5"/>
        <v>449</v>
      </c>
    </row>
    <row r="172" spans="1:9" ht="15.75" customHeight="1" x14ac:dyDescent="0.25">
      <c r="A172" s="4">
        <v>45740</v>
      </c>
      <c r="B172" s="2" t="s">
        <v>14</v>
      </c>
      <c r="C172" s="2">
        <v>364</v>
      </c>
      <c r="D172" s="2">
        <v>72</v>
      </c>
      <c r="E172" s="2">
        <f t="shared" si="4"/>
        <v>292</v>
      </c>
      <c r="F172" s="2">
        <v>211090</v>
      </c>
      <c r="G172" s="2">
        <v>5.53</v>
      </c>
      <c r="H172" s="2">
        <v>21061</v>
      </c>
      <c r="I172">
        <f t="shared" si="5"/>
        <v>459</v>
      </c>
    </row>
    <row r="173" spans="1:9" ht="15.75" customHeight="1" x14ac:dyDescent="0.25">
      <c r="A173" s="4">
        <v>45740</v>
      </c>
      <c r="B173" s="2" t="s">
        <v>25</v>
      </c>
      <c r="C173" s="2">
        <v>442</v>
      </c>
      <c r="D173" s="2">
        <v>53</v>
      </c>
      <c r="E173" s="2">
        <f t="shared" si="4"/>
        <v>389</v>
      </c>
      <c r="F173" s="2">
        <v>441931</v>
      </c>
      <c r="G173" s="2">
        <v>1.87</v>
      </c>
      <c r="H173" s="2">
        <v>20059</v>
      </c>
      <c r="I173">
        <f t="shared" si="5"/>
        <v>805</v>
      </c>
    </row>
    <row r="174" spans="1:9" ht="15.75" customHeight="1" x14ac:dyDescent="0.25">
      <c r="A174" s="4">
        <v>45747</v>
      </c>
      <c r="B174" s="2" t="s">
        <v>30</v>
      </c>
      <c r="C174" s="2">
        <v>1033</v>
      </c>
      <c r="D174" s="2">
        <v>392</v>
      </c>
      <c r="E174" s="2">
        <f t="shared" si="4"/>
        <v>641</v>
      </c>
      <c r="F174" s="2">
        <v>282780</v>
      </c>
      <c r="G174" s="2">
        <v>6.27</v>
      </c>
      <c r="H174" s="2">
        <v>23140</v>
      </c>
      <c r="I174">
        <f t="shared" si="5"/>
        <v>1074.5</v>
      </c>
    </row>
    <row r="175" spans="1:9" ht="15.75" customHeight="1" x14ac:dyDescent="0.25">
      <c r="A175" s="4">
        <v>45747</v>
      </c>
      <c r="B175" s="2" t="s">
        <v>38</v>
      </c>
      <c r="C175" s="2">
        <v>988</v>
      </c>
      <c r="D175" s="2">
        <v>474</v>
      </c>
      <c r="E175" s="2">
        <f t="shared" si="4"/>
        <v>514</v>
      </c>
      <c r="F175" s="2">
        <v>370070</v>
      </c>
      <c r="G175" s="2">
        <v>9.4600000000000009</v>
      </c>
      <c r="H175" s="2">
        <v>23461</v>
      </c>
      <c r="I175">
        <f t="shared" si="5"/>
        <v>956</v>
      </c>
    </row>
    <row r="176" spans="1:9" ht="15.75" customHeight="1" x14ac:dyDescent="0.25">
      <c r="A176" s="4">
        <v>45747</v>
      </c>
      <c r="B176" s="2" t="s">
        <v>14</v>
      </c>
      <c r="C176" s="2">
        <v>1946</v>
      </c>
      <c r="D176" s="2">
        <v>270</v>
      </c>
      <c r="E176" s="2">
        <f t="shared" si="4"/>
        <v>1676</v>
      </c>
      <c r="F176" s="2">
        <v>198350</v>
      </c>
      <c r="G176" s="2">
        <v>7.5</v>
      </c>
      <c r="H176" s="2">
        <v>11805</v>
      </c>
      <c r="I176">
        <f t="shared" si="5"/>
        <v>1084.75</v>
      </c>
    </row>
    <row r="177" spans="1:9" ht="15.75" customHeight="1" x14ac:dyDescent="0.25">
      <c r="A177" s="4">
        <v>45747</v>
      </c>
      <c r="B177" s="2" t="s">
        <v>25</v>
      </c>
      <c r="C177" s="2">
        <v>1957</v>
      </c>
      <c r="D177" s="2">
        <v>490</v>
      </c>
      <c r="E177" s="2">
        <f t="shared" si="4"/>
        <v>1467</v>
      </c>
      <c r="F177" s="2">
        <v>435726</v>
      </c>
      <c r="G177" s="2">
        <v>4.7300000000000004</v>
      </c>
      <c r="H177" s="2">
        <v>15969</v>
      </c>
      <c r="I177">
        <f t="shared" si="5"/>
        <v>917.5</v>
      </c>
    </row>
    <row r="178" spans="1:9" ht="15.75" customHeight="1" x14ac:dyDescent="0.25">
      <c r="A178" s="4">
        <v>45754</v>
      </c>
      <c r="B178" s="2" t="s">
        <v>30</v>
      </c>
      <c r="C178" s="2">
        <v>559</v>
      </c>
      <c r="D178" s="2">
        <v>392</v>
      </c>
      <c r="E178" s="2">
        <f t="shared" si="4"/>
        <v>167</v>
      </c>
      <c r="F178" s="2">
        <v>78789</v>
      </c>
      <c r="G178" s="2">
        <v>3.19</v>
      </c>
      <c r="H178" s="2">
        <v>2436</v>
      </c>
      <c r="I178">
        <f t="shared" si="5"/>
        <v>603</v>
      </c>
    </row>
    <row r="179" spans="1:9" ht="15.75" customHeight="1" x14ac:dyDescent="0.25">
      <c r="A179" s="4">
        <v>45754</v>
      </c>
      <c r="B179" s="2" t="s">
        <v>38</v>
      </c>
      <c r="C179" s="2">
        <v>1307</v>
      </c>
      <c r="D179" s="2">
        <v>278</v>
      </c>
      <c r="E179" s="2">
        <f t="shared" si="4"/>
        <v>1029</v>
      </c>
      <c r="F179" s="2">
        <v>98596</v>
      </c>
      <c r="G179" s="2">
        <v>2.4900000000000002</v>
      </c>
      <c r="H179" s="2">
        <v>47603</v>
      </c>
      <c r="I179">
        <f t="shared" si="5"/>
        <v>521.25</v>
      </c>
    </row>
    <row r="180" spans="1:9" ht="15.75" customHeight="1" x14ac:dyDescent="0.25">
      <c r="A180" s="4">
        <v>45754</v>
      </c>
      <c r="B180" s="2" t="s">
        <v>14</v>
      </c>
      <c r="C180" s="2">
        <v>1432</v>
      </c>
      <c r="D180" s="2">
        <v>425</v>
      </c>
      <c r="E180" s="2">
        <f t="shared" si="4"/>
        <v>1007</v>
      </c>
      <c r="F180" s="2">
        <v>29589</v>
      </c>
      <c r="G180" s="2">
        <v>4.5</v>
      </c>
      <c r="H180" s="2">
        <v>42964</v>
      </c>
      <c r="I180">
        <f t="shared" si="5"/>
        <v>220.25</v>
      </c>
    </row>
    <row r="181" spans="1:9" ht="15.75" customHeight="1" x14ac:dyDescent="0.25">
      <c r="A181" s="4">
        <v>45754</v>
      </c>
      <c r="B181" s="2" t="s">
        <v>25</v>
      </c>
      <c r="C181" s="2">
        <v>623</v>
      </c>
      <c r="D181" s="2">
        <v>414</v>
      </c>
      <c r="E181" s="2">
        <f t="shared" si="4"/>
        <v>209</v>
      </c>
      <c r="F181" s="2">
        <v>290354</v>
      </c>
      <c r="G181" s="2">
        <v>6.49</v>
      </c>
      <c r="H181" s="2">
        <v>39923</v>
      </c>
      <c r="I181">
        <f t="shared" si="5"/>
        <v>-18.25</v>
      </c>
    </row>
    <row r="182" spans="1:9" ht="15.75" customHeight="1" x14ac:dyDescent="0.25">
      <c r="A182" s="4">
        <v>45761</v>
      </c>
      <c r="B182" s="2" t="s">
        <v>30</v>
      </c>
      <c r="C182" s="2">
        <v>198</v>
      </c>
      <c r="D182" s="2">
        <v>358</v>
      </c>
      <c r="E182" s="2">
        <f t="shared" si="4"/>
        <v>-160</v>
      </c>
      <c r="F182" s="2">
        <v>66682</v>
      </c>
      <c r="G182" s="2">
        <v>6.73</v>
      </c>
      <c r="H182" s="2">
        <v>2293</v>
      </c>
      <c r="I182">
        <f t="shared" si="5"/>
        <v>-34.25</v>
      </c>
    </row>
    <row r="183" spans="1:9" ht="15.75" customHeight="1" x14ac:dyDescent="0.25">
      <c r="A183" s="4">
        <v>45761</v>
      </c>
      <c r="B183" s="2" t="s">
        <v>38</v>
      </c>
      <c r="C183" s="2">
        <v>198</v>
      </c>
      <c r="D183" s="2">
        <v>373</v>
      </c>
      <c r="E183" s="2">
        <f t="shared" si="4"/>
        <v>-175</v>
      </c>
      <c r="F183" s="2">
        <v>70707</v>
      </c>
      <c r="G183" s="2">
        <v>4.83</v>
      </c>
      <c r="H183" s="2">
        <v>25920</v>
      </c>
      <c r="I183">
        <f t="shared" si="5"/>
        <v>156.5</v>
      </c>
    </row>
    <row r="184" spans="1:9" ht="15.75" customHeight="1" x14ac:dyDescent="0.25">
      <c r="A184" s="4">
        <v>45761</v>
      </c>
      <c r="B184" s="2" t="s">
        <v>14</v>
      </c>
      <c r="C184" s="2">
        <v>353</v>
      </c>
      <c r="D184" s="2">
        <v>300</v>
      </c>
      <c r="E184" s="2">
        <f t="shared" si="4"/>
        <v>53</v>
      </c>
      <c r="F184" s="2">
        <v>142507</v>
      </c>
      <c r="G184" s="2">
        <v>5.3</v>
      </c>
      <c r="H184" s="2">
        <v>11035</v>
      </c>
      <c r="I184">
        <f t="shared" si="5"/>
        <v>461.5</v>
      </c>
    </row>
    <row r="185" spans="1:9" ht="15.75" customHeight="1" x14ac:dyDescent="0.25">
      <c r="A185" s="4">
        <v>45761</v>
      </c>
      <c r="B185" s="2" t="s">
        <v>25</v>
      </c>
      <c r="C185" s="2">
        <v>520</v>
      </c>
      <c r="D185" s="2">
        <v>375</v>
      </c>
      <c r="E185" s="2">
        <f t="shared" si="4"/>
        <v>145</v>
      </c>
      <c r="F185" s="2">
        <v>369525</v>
      </c>
      <c r="G185" s="2">
        <v>6.54</v>
      </c>
      <c r="H185" s="2">
        <v>20733</v>
      </c>
      <c r="I185">
        <f t="shared" si="5"/>
        <v>638</v>
      </c>
    </row>
    <row r="186" spans="1:9" ht="15.75" customHeight="1" x14ac:dyDescent="0.25">
      <c r="A186" s="4">
        <v>45768</v>
      </c>
      <c r="B186" s="2" t="s">
        <v>30</v>
      </c>
      <c r="C186" s="2">
        <v>961</v>
      </c>
      <c r="D186" s="2">
        <v>358</v>
      </c>
      <c r="E186" s="2">
        <f t="shared" si="4"/>
        <v>603</v>
      </c>
      <c r="F186" s="2">
        <v>62942</v>
      </c>
      <c r="G186" s="2">
        <v>6.8</v>
      </c>
      <c r="H186" s="2">
        <v>18693</v>
      </c>
      <c r="I186">
        <f t="shared" si="5"/>
        <v>1010</v>
      </c>
    </row>
    <row r="187" spans="1:9" ht="15.75" customHeight="1" x14ac:dyDescent="0.25">
      <c r="A187" s="4">
        <v>45768</v>
      </c>
      <c r="B187" s="2" t="s">
        <v>38</v>
      </c>
      <c r="C187" s="2">
        <v>1375</v>
      </c>
      <c r="D187" s="2">
        <v>330</v>
      </c>
      <c r="E187" s="2">
        <f t="shared" si="4"/>
        <v>1045</v>
      </c>
      <c r="F187" s="2">
        <v>377382</v>
      </c>
      <c r="G187" s="2">
        <v>2.6</v>
      </c>
      <c r="H187" s="2">
        <v>7875</v>
      </c>
      <c r="I187">
        <f t="shared" si="5"/>
        <v>1244</v>
      </c>
    </row>
    <row r="188" spans="1:9" ht="15.75" customHeight="1" x14ac:dyDescent="0.25">
      <c r="A188" s="4">
        <v>45768</v>
      </c>
      <c r="B188" s="2" t="s">
        <v>14</v>
      </c>
      <c r="C188" s="2">
        <v>1147</v>
      </c>
      <c r="D188" s="2">
        <v>388</v>
      </c>
      <c r="E188" s="2">
        <f t="shared" si="4"/>
        <v>759</v>
      </c>
      <c r="F188" s="2">
        <v>333851</v>
      </c>
      <c r="G188" s="2">
        <v>2.44</v>
      </c>
      <c r="H188" s="2">
        <v>8471</v>
      </c>
      <c r="I188">
        <f t="shared" si="5"/>
        <v>1096</v>
      </c>
    </row>
    <row r="189" spans="1:9" ht="15.75" customHeight="1" x14ac:dyDescent="0.25">
      <c r="A189" s="4">
        <v>45768</v>
      </c>
      <c r="B189" s="2" t="s">
        <v>25</v>
      </c>
      <c r="C189" s="2">
        <v>1707</v>
      </c>
      <c r="D189" s="2">
        <v>74</v>
      </c>
      <c r="E189" s="2">
        <f t="shared" si="4"/>
        <v>1633</v>
      </c>
      <c r="F189" s="2">
        <v>270958</v>
      </c>
      <c r="G189" s="2">
        <v>3.09</v>
      </c>
      <c r="H189" s="2">
        <v>14090</v>
      </c>
      <c r="I189">
        <f t="shared" si="5"/>
        <v>1143.25</v>
      </c>
    </row>
    <row r="190" spans="1:9" ht="15.75" customHeight="1" x14ac:dyDescent="0.25">
      <c r="A190" s="4">
        <v>45775</v>
      </c>
      <c r="B190" s="2" t="s">
        <v>30</v>
      </c>
      <c r="C190" s="2">
        <v>1693</v>
      </c>
      <c r="D190" s="2">
        <v>154</v>
      </c>
      <c r="E190" s="2">
        <f t="shared" si="4"/>
        <v>1539</v>
      </c>
      <c r="F190" s="2">
        <v>445944</v>
      </c>
      <c r="G190" s="2">
        <v>5.69</v>
      </c>
      <c r="H190" s="2">
        <v>14216</v>
      </c>
      <c r="I190">
        <f t="shared" si="5"/>
        <v>894.25</v>
      </c>
    </row>
    <row r="191" spans="1:9" ht="15.75" customHeight="1" x14ac:dyDescent="0.25">
      <c r="A191" s="4">
        <v>45775</v>
      </c>
      <c r="B191" s="2" t="s">
        <v>38</v>
      </c>
      <c r="C191" s="2">
        <v>833</v>
      </c>
      <c r="D191" s="2">
        <v>380</v>
      </c>
      <c r="E191" s="2">
        <f t="shared" si="4"/>
        <v>453</v>
      </c>
      <c r="F191" s="2">
        <v>224830</v>
      </c>
      <c r="G191" s="2">
        <v>3.86</v>
      </c>
      <c r="H191" s="2">
        <v>3582</v>
      </c>
      <c r="I191">
        <f t="shared" si="5"/>
        <v>979.75</v>
      </c>
    </row>
    <row r="192" spans="1:9" ht="15.75" customHeight="1" x14ac:dyDescent="0.25">
      <c r="A192" s="4">
        <v>45775</v>
      </c>
      <c r="B192" s="2" t="s">
        <v>14</v>
      </c>
      <c r="C192" s="2">
        <v>1222</v>
      </c>
      <c r="D192" s="2">
        <v>274</v>
      </c>
      <c r="E192" s="2">
        <f t="shared" si="4"/>
        <v>948</v>
      </c>
      <c r="F192" s="2">
        <v>487289</v>
      </c>
      <c r="G192" s="2">
        <v>3.16</v>
      </c>
      <c r="H192" s="2">
        <v>32500</v>
      </c>
      <c r="I192">
        <f t="shared" si="5"/>
        <v>951.25</v>
      </c>
    </row>
    <row r="193" spans="1:9" ht="15.75" customHeight="1" x14ac:dyDescent="0.25">
      <c r="A193" s="4">
        <v>45775</v>
      </c>
      <c r="B193" s="2" t="s">
        <v>25</v>
      </c>
      <c r="C193" s="2">
        <v>777</v>
      </c>
      <c r="D193" s="2">
        <v>140</v>
      </c>
      <c r="E193" s="2">
        <f t="shared" si="4"/>
        <v>637</v>
      </c>
      <c r="F193" s="2">
        <v>11435</v>
      </c>
      <c r="G193" s="2">
        <v>1.6</v>
      </c>
      <c r="H193" s="2">
        <v>6832</v>
      </c>
      <c r="I193">
        <f t="shared" si="5"/>
        <v>1091.75</v>
      </c>
    </row>
    <row r="194" spans="1:9" ht="15.75" customHeight="1" x14ac:dyDescent="0.25">
      <c r="A194" s="4">
        <v>45782</v>
      </c>
      <c r="B194" s="2" t="s">
        <v>30</v>
      </c>
      <c r="C194" s="2">
        <v>1957</v>
      </c>
      <c r="D194" s="2">
        <v>76</v>
      </c>
      <c r="E194" s="2">
        <f t="shared" si="4"/>
        <v>1881</v>
      </c>
      <c r="F194" s="2">
        <v>447902</v>
      </c>
      <c r="G194" s="2">
        <v>6.09</v>
      </c>
      <c r="H194" s="2">
        <v>33381</v>
      </c>
      <c r="I194">
        <f t="shared" si="5"/>
        <v>1148.5</v>
      </c>
    </row>
    <row r="195" spans="1:9" ht="15.75" customHeight="1" x14ac:dyDescent="0.25">
      <c r="A195" s="4">
        <v>45782</v>
      </c>
      <c r="B195" s="2" t="s">
        <v>38</v>
      </c>
      <c r="C195" s="2">
        <v>405</v>
      </c>
      <c r="D195" s="2">
        <v>66</v>
      </c>
      <c r="E195" s="2">
        <f t="shared" ref="E195:E201" si="6">C195-D195</f>
        <v>339</v>
      </c>
      <c r="F195" s="2">
        <v>418696</v>
      </c>
      <c r="G195" s="2">
        <v>5.59</v>
      </c>
      <c r="H195" s="2">
        <v>48419</v>
      </c>
      <c r="I195">
        <f t="shared" ref="I195:I201" si="7">AVERAGE(E195:E198)</f>
        <v>1092.25</v>
      </c>
    </row>
    <row r="196" spans="1:9" ht="15.75" customHeight="1" x14ac:dyDescent="0.25">
      <c r="A196" s="4">
        <v>45782</v>
      </c>
      <c r="B196" s="2" t="s">
        <v>14</v>
      </c>
      <c r="C196" s="2">
        <v>1581</v>
      </c>
      <c r="D196" s="2">
        <v>71</v>
      </c>
      <c r="E196" s="2">
        <f t="shared" si="6"/>
        <v>1510</v>
      </c>
      <c r="F196" s="2">
        <v>484364</v>
      </c>
      <c r="G196" s="2">
        <v>3.55</v>
      </c>
      <c r="H196" s="2">
        <v>16149</v>
      </c>
      <c r="I196">
        <f t="shared" si="7"/>
        <v>1109.25</v>
      </c>
    </row>
    <row r="197" spans="1:9" ht="15.75" customHeight="1" x14ac:dyDescent="0.25">
      <c r="A197" s="4">
        <v>45782</v>
      </c>
      <c r="B197" s="2" t="s">
        <v>25</v>
      </c>
      <c r="C197" s="2">
        <v>1035</v>
      </c>
      <c r="D197" s="2">
        <v>171</v>
      </c>
      <c r="E197" s="2">
        <f t="shared" si="6"/>
        <v>864</v>
      </c>
      <c r="F197" s="2">
        <v>148477</v>
      </c>
      <c r="G197" s="2">
        <v>5.21</v>
      </c>
      <c r="H197" s="2">
        <v>7541</v>
      </c>
      <c r="I197">
        <f t="shared" si="7"/>
        <v>799</v>
      </c>
    </row>
    <row r="198" spans="1:9" ht="15.75" customHeight="1" x14ac:dyDescent="0.25">
      <c r="A198" s="4">
        <v>45789</v>
      </c>
      <c r="B198" s="2" t="s">
        <v>30</v>
      </c>
      <c r="C198" s="2">
        <v>1765</v>
      </c>
      <c r="D198" s="2">
        <v>109</v>
      </c>
      <c r="E198" s="2">
        <f t="shared" si="6"/>
        <v>1656</v>
      </c>
      <c r="F198" s="2">
        <v>468301</v>
      </c>
      <c r="G198" s="2">
        <v>1.82</v>
      </c>
      <c r="H198" s="2">
        <v>20042</v>
      </c>
      <c r="I198">
        <f t="shared" si="7"/>
        <v>498.75</v>
      </c>
    </row>
    <row r="199" spans="1:9" ht="15.75" customHeight="1" x14ac:dyDescent="0.25">
      <c r="A199" s="4">
        <v>45789</v>
      </c>
      <c r="B199" s="2" t="s">
        <v>38</v>
      </c>
      <c r="C199" s="2">
        <v>837</v>
      </c>
      <c r="D199" s="2">
        <v>430</v>
      </c>
      <c r="E199" s="2">
        <f t="shared" si="6"/>
        <v>407</v>
      </c>
      <c r="F199" s="2">
        <v>364820</v>
      </c>
      <c r="G199" s="2">
        <v>4</v>
      </c>
      <c r="H199" s="2">
        <v>49400</v>
      </c>
      <c r="I199">
        <f t="shared" si="7"/>
        <v>113</v>
      </c>
    </row>
    <row r="200" spans="1:9" ht="15.75" customHeight="1" x14ac:dyDescent="0.25">
      <c r="A200" s="4">
        <v>45789</v>
      </c>
      <c r="B200" s="2" t="s">
        <v>14</v>
      </c>
      <c r="C200" s="2">
        <v>337</v>
      </c>
      <c r="D200" s="2">
        <v>68</v>
      </c>
      <c r="E200" s="2">
        <f t="shared" si="6"/>
        <v>269</v>
      </c>
      <c r="F200" s="2">
        <v>456298</v>
      </c>
      <c r="G200" s="2">
        <v>7.57</v>
      </c>
      <c r="H200" s="2">
        <v>4007</v>
      </c>
      <c r="I200">
        <f t="shared" si="7"/>
        <v>-34</v>
      </c>
    </row>
    <row r="201" spans="1:9" ht="15.75" customHeight="1" x14ac:dyDescent="0.25">
      <c r="A201" s="4">
        <v>45789</v>
      </c>
      <c r="B201" s="2" t="s">
        <v>25</v>
      </c>
      <c r="C201" s="2">
        <v>119</v>
      </c>
      <c r="D201" s="2">
        <v>456</v>
      </c>
      <c r="E201" s="2">
        <f t="shared" si="6"/>
        <v>-337</v>
      </c>
      <c r="F201" s="2">
        <v>82558</v>
      </c>
      <c r="G201" s="2">
        <v>6.81</v>
      </c>
      <c r="H201" s="2">
        <v>12174</v>
      </c>
      <c r="I201">
        <f t="shared" si="7"/>
        <v>-337</v>
      </c>
    </row>
    <row r="202" spans="1:9" ht="15.75" customHeight="1" x14ac:dyDescent="0.25"/>
    <row r="203" spans="1:9" ht="15.75" customHeight="1" x14ac:dyDescent="0.25"/>
    <row r="204" spans="1:9" ht="15.75" customHeight="1" x14ac:dyDescent="0.25"/>
    <row r="205" spans="1:9" ht="15.75" customHeight="1" x14ac:dyDescent="0.25"/>
    <row r="206" spans="1:9" ht="15.75" customHeight="1" x14ac:dyDescent="0.25"/>
    <row r="207" spans="1:9" ht="15.75" customHeight="1" x14ac:dyDescent="0.25"/>
    <row r="208" spans="1:9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B0D2-AB6D-4DBE-A9C4-0A23031D1EA6}">
  <dimension ref="A1:H78"/>
  <sheetViews>
    <sheetView zoomScaleNormal="100" workbookViewId="0">
      <selection activeCell="P13" sqref="P13"/>
    </sheetView>
  </sheetViews>
  <sheetFormatPr defaultRowHeight="15" x14ac:dyDescent="0.25"/>
  <cols>
    <col min="1" max="1" width="13.42578125" bestFit="1" customWidth="1"/>
    <col min="2" max="2" width="21.7109375" customWidth="1"/>
    <col min="3" max="3" width="23.28515625" customWidth="1"/>
    <col min="4" max="4" width="5" bestFit="1" customWidth="1"/>
    <col min="5" max="6" width="6" bestFit="1" customWidth="1"/>
    <col min="7" max="7" width="5" bestFit="1" customWidth="1"/>
    <col min="8" max="8" width="42" customWidth="1"/>
    <col min="9" max="10" width="6" bestFit="1" customWidth="1"/>
    <col min="11" max="11" width="5" bestFit="1" customWidth="1"/>
    <col min="12" max="12" width="6" bestFit="1" customWidth="1"/>
    <col min="13" max="13" width="5" bestFit="1" customWidth="1"/>
    <col min="14" max="17" width="6" bestFit="1" customWidth="1"/>
    <col min="18" max="18" width="5" bestFit="1" customWidth="1"/>
    <col min="19" max="29" width="6" bestFit="1" customWidth="1"/>
    <col min="30" max="30" width="5" bestFit="1" customWidth="1"/>
    <col min="31" max="34" width="6" bestFit="1" customWidth="1"/>
    <col min="35" max="36" width="5" bestFit="1" customWidth="1"/>
    <col min="37" max="39" width="6" bestFit="1" customWidth="1"/>
    <col min="40" max="40" width="5" bestFit="1" customWidth="1"/>
    <col min="41" max="42" width="6" bestFit="1" customWidth="1"/>
    <col min="43" max="44" width="5" bestFit="1" customWidth="1"/>
    <col min="45" max="55" width="6" bestFit="1" customWidth="1"/>
    <col min="56" max="56" width="5" bestFit="1" customWidth="1"/>
    <col min="57" max="57" width="6" bestFit="1" customWidth="1"/>
    <col min="58" max="58" width="5" bestFit="1" customWidth="1"/>
    <col min="59" max="66" width="6" bestFit="1" customWidth="1"/>
    <col min="67" max="68" width="5" bestFit="1" customWidth="1"/>
    <col min="69" max="72" width="6" bestFit="1" customWidth="1"/>
    <col min="73" max="74" width="5" bestFit="1" customWidth="1"/>
    <col min="75" max="75" width="6" bestFit="1" customWidth="1"/>
    <col min="76" max="76" width="5" bestFit="1" customWidth="1"/>
    <col min="77" max="84" width="6" bestFit="1" customWidth="1"/>
    <col min="85" max="85" width="5" bestFit="1" customWidth="1"/>
    <col min="86" max="86" width="6" bestFit="1" customWidth="1"/>
    <col min="87" max="91" width="5" bestFit="1" customWidth="1"/>
    <col min="92" max="93" width="6" bestFit="1" customWidth="1"/>
    <col min="94" max="94" width="5" bestFit="1" customWidth="1"/>
    <col min="95" max="97" width="6" bestFit="1" customWidth="1"/>
    <col min="98" max="98" width="5" bestFit="1" customWidth="1"/>
    <col min="99" max="114" width="6" bestFit="1" customWidth="1"/>
    <col min="115" max="115" width="5" bestFit="1" customWidth="1"/>
    <col min="116" max="120" width="6" bestFit="1" customWidth="1"/>
    <col min="121" max="121" width="5" bestFit="1" customWidth="1"/>
    <col min="122" max="123" width="6" bestFit="1" customWidth="1"/>
    <col min="124" max="124" width="5" bestFit="1" customWidth="1"/>
    <col min="125" max="132" width="6" bestFit="1" customWidth="1"/>
    <col min="133" max="133" width="5" bestFit="1" customWidth="1"/>
    <col min="134" max="134" width="6" bestFit="1" customWidth="1"/>
    <col min="135" max="135" width="5" bestFit="1" customWidth="1"/>
    <col min="136" max="138" width="6" bestFit="1" customWidth="1"/>
    <col min="139" max="139" width="5" bestFit="1" customWidth="1"/>
    <col min="140" max="141" width="6" bestFit="1" customWidth="1"/>
    <col min="142" max="142" width="5" bestFit="1" customWidth="1"/>
    <col min="143" max="149" width="6" bestFit="1" customWidth="1"/>
    <col min="150" max="150" width="5" bestFit="1" customWidth="1"/>
    <col min="151" max="166" width="6" bestFit="1" customWidth="1"/>
    <col min="167" max="167" width="5" bestFit="1" customWidth="1"/>
    <col min="168" max="183" width="6" bestFit="1" customWidth="1"/>
    <col min="184" max="184" width="5" bestFit="1" customWidth="1"/>
    <col min="185" max="187" width="6" bestFit="1" customWidth="1"/>
    <col min="188" max="188" width="5" bestFit="1" customWidth="1"/>
    <col min="189" max="189" width="6" bestFit="1" customWidth="1"/>
    <col min="190" max="190" width="5" bestFit="1" customWidth="1"/>
    <col min="191" max="194" width="6" bestFit="1" customWidth="1"/>
    <col min="195" max="195" width="11.28515625" bestFit="1" customWidth="1"/>
  </cols>
  <sheetData>
    <row r="1" spans="1:8" ht="21" x14ac:dyDescent="0.35">
      <c r="A1" s="58" t="s">
        <v>471</v>
      </c>
      <c r="B1" s="58"/>
      <c r="C1" s="58"/>
      <c r="D1" s="58"/>
      <c r="E1" s="58"/>
    </row>
    <row r="2" spans="1:8" ht="15.75" x14ac:dyDescent="0.25">
      <c r="A2" s="59" t="s">
        <v>470</v>
      </c>
      <c r="B2" s="59"/>
      <c r="C2" s="59"/>
      <c r="D2" s="59"/>
      <c r="E2" s="59"/>
      <c r="G2" s="60" t="s">
        <v>477</v>
      </c>
      <c r="H2" s="60"/>
    </row>
    <row r="3" spans="1:8" x14ac:dyDescent="0.25">
      <c r="A3" s="6" t="s">
        <v>1</v>
      </c>
      <c r="B3" s="6" t="s">
        <v>467</v>
      </c>
      <c r="C3" s="6" t="s">
        <v>468</v>
      </c>
    </row>
    <row r="4" spans="1:8" x14ac:dyDescent="0.25">
      <c r="A4" t="s">
        <v>38</v>
      </c>
      <c r="B4" s="17" cm="1">
        <f t="array" ref="B4">INDEX('Engagement Summary'!A2:A201,MATCH(_xlfn.MAXIFS('Engagement Summary'!C2:C201,'Engagement Summary'!B2:B201,'Task 6'!A4),IF('Engagement Summary'!B2:B201='Task 6'!A4,'Engagement Summary'!C2:C201),0))</f>
        <v>45656</v>
      </c>
      <c r="C4">
        <f>_xlfn.MAXIFS('Engagement Summary'!C2:C201,'Engagement Summary'!B2:B201,'Task 6'!A4)</f>
        <v>1980</v>
      </c>
    </row>
    <row r="5" spans="1:8" x14ac:dyDescent="0.25">
      <c r="A5" t="s">
        <v>30</v>
      </c>
      <c r="B5" s="17" cm="1">
        <f t="array" ref="B5">INDEX('Engagement Summary'!A3:A202,MATCH(_xlfn.MAXIFS('Engagement Summary'!C3:C202,'Engagement Summary'!B3:B202,'Task 6'!A5),IF('Engagement Summary'!B3:B202='Task 6'!A5,'Engagement Summary'!C3:C202),0))</f>
        <v>45488</v>
      </c>
      <c r="C5">
        <f>_xlfn.MAXIFS('Engagement Summary'!C3:C202,'Engagement Summary'!B3:B202,'Task 6'!A5)</f>
        <v>1960</v>
      </c>
    </row>
    <row r="6" spans="1:8" x14ac:dyDescent="0.25">
      <c r="A6" t="s">
        <v>14</v>
      </c>
      <c r="B6" s="17" cm="1">
        <f t="array" ref="B6">INDEX('Engagement Summary'!A4:A203,MATCH(_xlfn.MAXIFS('Engagement Summary'!C4:C203,'Engagement Summary'!B4:B203,'Task 6'!A6),IF('Engagement Summary'!B4:B203='Task 6'!A6,'Engagement Summary'!C4:C203),0))</f>
        <v>45747</v>
      </c>
      <c r="C6">
        <f>_xlfn.MAXIFS('Engagement Summary'!C4:C203,'Engagement Summary'!B4:B203,'Task 6'!A6)</f>
        <v>1946</v>
      </c>
    </row>
    <row r="7" spans="1:8" x14ac:dyDescent="0.25">
      <c r="A7" t="s">
        <v>466</v>
      </c>
      <c r="B7" s="17" cm="1">
        <f t="array" ref="B7">INDEX('Engagement Summary'!A5:A204,MATCH(_xlfn.MAXIFS('Engagement Summary'!C5:C204,'Engagement Summary'!B5:B204,'Task 6'!A7),IF('Engagement Summary'!B5:B204='Task 6'!A7,'Engagement Summary'!C5:C204),0))</f>
        <v>45747</v>
      </c>
      <c r="C7">
        <f>_xlfn.MAXIFS('Engagement Summary'!C5:C204,'Engagement Summary'!B5:B204,'Task 6'!A7)</f>
        <v>1957</v>
      </c>
    </row>
    <row r="20" spans="1:3" x14ac:dyDescent="0.25">
      <c r="A20" s="6" t="s">
        <v>475</v>
      </c>
      <c r="B20" s="6" t="s">
        <v>476</v>
      </c>
      <c r="C20" s="6" t="s">
        <v>473</v>
      </c>
    </row>
    <row r="21" spans="1:3" x14ac:dyDescent="0.25">
      <c r="A21" s="17" cm="1">
        <f t="array" ref="A21:A70">_xlfn._xlws.FILTER('Task 6 Data'!A2:A201,'Task 6 Data'!B2:B201="Instagram")</f>
        <v>45446</v>
      </c>
      <c r="B21" cm="1">
        <f t="array" ref="B21:B70">_xlfn._xlws.FILTER('Task 6 Data'!C:C,'Task 6 Data'!B:B="Instagram")</f>
        <v>1135</v>
      </c>
      <c r="C21" cm="1">
        <f t="array" ref="C21:C70">_xlfn._xlws.FILTER('Task 6 Data'!I:I,'Task 6 Data'!B:B="Instagram")</f>
        <v>888.5</v>
      </c>
    </row>
    <row r="22" spans="1:3" x14ac:dyDescent="0.25">
      <c r="A22" s="17">
        <v>45453</v>
      </c>
      <c r="B22">
        <v>656</v>
      </c>
      <c r="C22">
        <v>745</v>
      </c>
    </row>
    <row r="23" spans="1:3" x14ac:dyDescent="0.25">
      <c r="A23" s="17">
        <v>45460</v>
      </c>
      <c r="B23">
        <v>1048</v>
      </c>
      <c r="C23">
        <v>976.75</v>
      </c>
    </row>
    <row r="24" spans="1:3" x14ac:dyDescent="0.25">
      <c r="A24" s="17">
        <v>45467</v>
      </c>
      <c r="B24">
        <v>911</v>
      </c>
      <c r="C24">
        <v>752.75</v>
      </c>
    </row>
    <row r="25" spans="1:3" x14ac:dyDescent="0.25">
      <c r="A25" s="17">
        <v>45474</v>
      </c>
      <c r="B25">
        <v>226</v>
      </c>
      <c r="C25">
        <v>323.25</v>
      </c>
    </row>
    <row r="26" spans="1:3" x14ac:dyDescent="0.25">
      <c r="A26" s="17">
        <v>45481</v>
      </c>
      <c r="B26">
        <v>1757</v>
      </c>
      <c r="C26">
        <v>760.5</v>
      </c>
    </row>
    <row r="27" spans="1:3" x14ac:dyDescent="0.25">
      <c r="A27" s="17">
        <v>45488</v>
      </c>
      <c r="B27">
        <v>1960</v>
      </c>
      <c r="C27">
        <v>567.5</v>
      </c>
    </row>
    <row r="28" spans="1:3" x14ac:dyDescent="0.25">
      <c r="A28" s="17">
        <v>45495</v>
      </c>
      <c r="B28">
        <v>508</v>
      </c>
      <c r="C28">
        <v>688.25</v>
      </c>
    </row>
    <row r="29" spans="1:3" x14ac:dyDescent="0.25">
      <c r="A29" s="17">
        <v>45502</v>
      </c>
      <c r="B29">
        <v>653</v>
      </c>
      <c r="C29">
        <v>548.25</v>
      </c>
    </row>
    <row r="30" spans="1:3" x14ac:dyDescent="0.25">
      <c r="A30" s="17">
        <v>45509</v>
      </c>
      <c r="B30">
        <v>645</v>
      </c>
      <c r="C30">
        <v>200.5</v>
      </c>
    </row>
    <row r="31" spans="1:3" x14ac:dyDescent="0.25">
      <c r="A31" s="17">
        <v>45516</v>
      </c>
      <c r="B31">
        <v>1528</v>
      </c>
      <c r="C31">
        <v>932</v>
      </c>
    </row>
    <row r="32" spans="1:3" x14ac:dyDescent="0.25">
      <c r="A32" s="17">
        <v>45523</v>
      </c>
      <c r="B32">
        <v>215</v>
      </c>
      <c r="C32">
        <v>747.25</v>
      </c>
    </row>
    <row r="33" spans="1:3" x14ac:dyDescent="0.25">
      <c r="A33" s="17">
        <v>45530</v>
      </c>
      <c r="B33">
        <v>1685</v>
      </c>
      <c r="C33">
        <v>725.75</v>
      </c>
    </row>
    <row r="34" spans="1:3" x14ac:dyDescent="0.25">
      <c r="A34" s="17">
        <v>45537</v>
      </c>
      <c r="B34">
        <v>1429</v>
      </c>
      <c r="C34">
        <v>705.5</v>
      </c>
    </row>
    <row r="35" spans="1:3" x14ac:dyDescent="0.25">
      <c r="A35" s="17">
        <v>45544</v>
      </c>
      <c r="B35">
        <v>1592</v>
      </c>
      <c r="C35">
        <v>1090</v>
      </c>
    </row>
    <row r="36" spans="1:3" x14ac:dyDescent="0.25">
      <c r="A36" s="17">
        <v>45551</v>
      </c>
      <c r="B36">
        <v>778</v>
      </c>
      <c r="C36">
        <v>392</v>
      </c>
    </row>
    <row r="37" spans="1:3" x14ac:dyDescent="0.25">
      <c r="A37" s="17">
        <v>45558</v>
      </c>
      <c r="B37">
        <v>817</v>
      </c>
      <c r="C37">
        <v>833.25</v>
      </c>
    </row>
    <row r="38" spans="1:3" x14ac:dyDescent="0.25">
      <c r="A38" s="17">
        <v>45565</v>
      </c>
      <c r="B38">
        <v>1433</v>
      </c>
      <c r="C38">
        <v>787.75</v>
      </c>
    </row>
    <row r="39" spans="1:3" x14ac:dyDescent="0.25">
      <c r="A39" s="17">
        <v>45572</v>
      </c>
      <c r="B39">
        <v>1939</v>
      </c>
      <c r="C39">
        <v>939.75</v>
      </c>
    </row>
    <row r="40" spans="1:3" x14ac:dyDescent="0.25">
      <c r="A40" s="17">
        <v>45579</v>
      </c>
      <c r="B40">
        <v>1527</v>
      </c>
      <c r="C40">
        <v>464</v>
      </c>
    </row>
    <row r="41" spans="1:3" x14ac:dyDescent="0.25">
      <c r="A41" s="17">
        <v>45586</v>
      </c>
      <c r="B41">
        <v>703</v>
      </c>
      <c r="C41">
        <v>705.25</v>
      </c>
    </row>
    <row r="42" spans="1:3" x14ac:dyDescent="0.25">
      <c r="A42" s="17">
        <v>45593</v>
      </c>
      <c r="B42">
        <v>642</v>
      </c>
      <c r="C42">
        <v>664</v>
      </c>
    </row>
    <row r="43" spans="1:3" x14ac:dyDescent="0.25">
      <c r="A43" s="17">
        <v>45600</v>
      </c>
      <c r="B43">
        <v>1466</v>
      </c>
      <c r="C43">
        <v>1146</v>
      </c>
    </row>
    <row r="44" spans="1:3" x14ac:dyDescent="0.25">
      <c r="A44" s="17">
        <v>45607</v>
      </c>
      <c r="B44">
        <v>1075</v>
      </c>
      <c r="C44">
        <v>573.75</v>
      </c>
    </row>
    <row r="45" spans="1:3" x14ac:dyDescent="0.25">
      <c r="A45" s="17">
        <v>45614</v>
      </c>
      <c r="B45">
        <v>187</v>
      </c>
      <c r="C45">
        <v>132</v>
      </c>
    </row>
    <row r="46" spans="1:3" x14ac:dyDescent="0.25">
      <c r="A46" s="17">
        <v>45621</v>
      </c>
      <c r="B46">
        <v>1854</v>
      </c>
      <c r="C46">
        <v>1002</v>
      </c>
    </row>
    <row r="47" spans="1:3" x14ac:dyDescent="0.25">
      <c r="A47" s="17">
        <v>45628</v>
      </c>
      <c r="B47">
        <v>1696</v>
      </c>
      <c r="C47">
        <v>1198.75</v>
      </c>
    </row>
    <row r="48" spans="1:3" x14ac:dyDescent="0.25">
      <c r="A48" s="17">
        <v>45635</v>
      </c>
      <c r="B48">
        <v>1494</v>
      </c>
      <c r="C48">
        <v>1198</v>
      </c>
    </row>
    <row r="49" spans="1:3" x14ac:dyDescent="0.25">
      <c r="A49" s="17">
        <v>45642</v>
      </c>
      <c r="B49">
        <v>1502</v>
      </c>
      <c r="C49">
        <v>1261</v>
      </c>
    </row>
    <row r="50" spans="1:3" x14ac:dyDescent="0.25">
      <c r="A50" s="17">
        <v>45649</v>
      </c>
      <c r="B50">
        <v>1092</v>
      </c>
      <c r="C50">
        <v>978.5</v>
      </c>
    </row>
    <row r="51" spans="1:3" x14ac:dyDescent="0.25">
      <c r="A51" s="17">
        <v>45656</v>
      </c>
      <c r="B51">
        <v>1814</v>
      </c>
      <c r="C51">
        <v>1632.5</v>
      </c>
    </row>
    <row r="52" spans="1:3" x14ac:dyDescent="0.25">
      <c r="A52" s="17">
        <v>45663</v>
      </c>
      <c r="B52">
        <v>1013</v>
      </c>
      <c r="C52">
        <v>889.25</v>
      </c>
    </row>
    <row r="53" spans="1:3" x14ac:dyDescent="0.25">
      <c r="A53" s="17">
        <v>45670</v>
      </c>
      <c r="B53">
        <v>1855</v>
      </c>
      <c r="C53">
        <v>694.25</v>
      </c>
    </row>
    <row r="54" spans="1:3" x14ac:dyDescent="0.25">
      <c r="A54" s="17">
        <v>45677</v>
      </c>
      <c r="B54">
        <v>1748</v>
      </c>
      <c r="C54">
        <v>903.5</v>
      </c>
    </row>
    <row r="55" spans="1:3" x14ac:dyDescent="0.25">
      <c r="A55" s="17">
        <v>45684</v>
      </c>
      <c r="B55">
        <v>115</v>
      </c>
      <c r="C55">
        <v>845.75</v>
      </c>
    </row>
    <row r="56" spans="1:3" x14ac:dyDescent="0.25">
      <c r="A56" s="17">
        <v>45691</v>
      </c>
      <c r="B56">
        <v>1556</v>
      </c>
      <c r="C56">
        <v>548.5</v>
      </c>
    </row>
    <row r="57" spans="1:3" x14ac:dyDescent="0.25">
      <c r="A57" s="17">
        <v>45698</v>
      </c>
      <c r="B57">
        <v>1957</v>
      </c>
      <c r="C57">
        <v>1320.25</v>
      </c>
    </row>
    <row r="58" spans="1:3" x14ac:dyDescent="0.25">
      <c r="A58" s="17">
        <v>45705</v>
      </c>
      <c r="B58">
        <v>1138</v>
      </c>
      <c r="C58">
        <v>923.25</v>
      </c>
    </row>
    <row r="59" spans="1:3" x14ac:dyDescent="0.25">
      <c r="A59" s="17">
        <v>45712</v>
      </c>
      <c r="B59">
        <v>1440</v>
      </c>
      <c r="C59">
        <v>1201.5</v>
      </c>
    </row>
    <row r="60" spans="1:3" x14ac:dyDescent="0.25">
      <c r="A60" s="17">
        <v>45719</v>
      </c>
      <c r="B60">
        <v>1371</v>
      </c>
      <c r="C60">
        <v>602.5</v>
      </c>
    </row>
    <row r="61" spans="1:3" x14ac:dyDescent="0.25">
      <c r="A61" s="17">
        <v>45726</v>
      </c>
      <c r="B61">
        <v>393</v>
      </c>
      <c r="C61">
        <v>928</v>
      </c>
    </row>
    <row r="62" spans="1:3" x14ac:dyDescent="0.25">
      <c r="A62" s="17">
        <v>45733</v>
      </c>
      <c r="B62">
        <v>1102</v>
      </c>
      <c r="C62">
        <v>1010.5</v>
      </c>
    </row>
    <row r="63" spans="1:3" x14ac:dyDescent="0.25">
      <c r="A63" s="17">
        <v>45740</v>
      </c>
      <c r="B63">
        <v>490</v>
      </c>
      <c r="C63">
        <v>404</v>
      </c>
    </row>
    <row r="64" spans="1:3" x14ac:dyDescent="0.25">
      <c r="A64" s="17">
        <v>45747</v>
      </c>
      <c r="B64">
        <v>1033</v>
      </c>
      <c r="C64">
        <v>1074.5</v>
      </c>
    </row>
    <row r="65" spans="1:4" x14ac:dyDescent="0.25">
      <c r="A65" s="17">
        <v>45754</v>
      </c>
      <c r="B65">
        <v>559</v>
      </c>
      <c r="C65">
        <v>603</v>
      </c>
    </row>
    <row r="66" spans="1:4" x14ac:dyDescent="0.25">
      <c r="A66" s="17">
        <v>45761</v>
      </c>
      <c r="B66">
        <v>198</v>
      </c>
      <c r="C66">
        <v>-34.25</v>
      </c>
    </row>
    <row r="67" spans="1:4" x14ac:dyDescent="0.25">
      <c r="A67" s="17">
        <v>45768</v>
      </c>
      <c r="B67">
        <v>961</v>
      </c>
      <c r="C67">
        <v>1010</v>
      </c>
    </row>
    <row r="68" spans="1:4" x14ac:dyDescent="0.25">
      <c r="A68" s="17">
        <v>45775</v>
      </c>
      <c r="B68">
        <v>1693</v>
      </c>
      <c r="C68">
        <v>894.25</v>
      </c>
    </row>
    <row r="69" spans="1:4" x14ac:dyDescent="0.25">
      <c r="A69" s="17">
        <v>45782</v>
      </c>
      <c r="B69">
        <v>1957</v>
      </c>
      <c r="C69">
        <v>1148.5</v>
      </c>
    </row>
    <row r="70" spans="1:4" x14ac:dyDescent="0.25">
      <c r="A70" s="17">
        <v>45789</v>
      </c>
      <c r="B70">
        <v>1765</v>
      </c>
      <c r="C70">
        <v>498.75</v>
      </c>
    </row>
    <row r="73" spans="1:4" x14ac:dyDescent="0.25">
      <c r="A73" s="6" t="s">
        <v>411</v>
      </c>
      <c r="B73" s="6" t="s">
        <v>478</v>
      </c>
      <c r="C73" s="6" t="s">
        <v>474</v>
      </c>
      <c r="D73" s="6"/>
    </row>
    <row r="74" spans="1:4" x14ac:dyDescent="0.25">
      <c r="A74" t="s">
        <v>38</v>
      </c>
      <c r="B74">
        <v>1379539</v>
      </c>
      <c r="C74">
        <v>35557</v>
      </c>
    </row>
    <row r="75" spans="1:4" x14ac:dyDescent="0.25">
      <c r="A75" t="s">
        <v>30</v>
      </c>
      <c r="B75">
        <v>1164373</v>
      </c>
      <c r="C75">
        <v>48004</v>
      </c>
    </row>
    <row r="76" spans="1:4" x14ac:dyDescent="0.25">
      <c r="A76" t="s">
        <v>14</v>
      </c>
      <c r="B76">
        <v>1060357</v>
      </c>
      <c r="C76">
        <v>41177</v>
      </c>
    </row>
    <row r="77" spans="1:4" x14ac:dyDescent="0.25">
      <c r="A77" t="s">
        <v>25</v>
      </c>
      <c r="B77">
        <v>1228647</v>
      </c>
      <c r="C77">
        <v>35367</v>
      </c>
    </row>
    <row r="78" spans="1:4" x14ac:dyDescent="0.25">
      <c r="A78" t="s">
        <v>400</v>
      </c>
      <c r="B78">
        <v>4832916</v>
      </c>
      <c r="C78">
        <v>160105</v>
      </c>
    </row>
  </sheetData>
  <mergeCells count="3">
    <mergeCell ref="A1:E1"/>
    <mergeCell ref="A2:E2"/>
    <mergeCell ref="G2:H2"/>
  </mergeCells>
  <pageMargins left="0.7" right="0.7" top="0.75" bottom="0.75" header="0.3" footer="0.3"/>
  <ignoredErrors>
    <ignoredError sqref="B5:B7 C5:C8" formulaRange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DC36-55EA-4737-9561-040D5CC2FB6D}">
  <dimension ref="A1"/>
  <sheetViews>
    <sheetView tabSelected="1" workbookViewId="0"/>
  </sheetViews>
  <sheetFormatPr defaultRowHeight="15" x14ac:dyDescent="0.25"/>
  <cols>
    <col min="1" max="1" width="90" customWidth="1"/>
  </cols>
  <sheetData>
    <row r="1" spans="1:1" x14ac:dyDescent="0.25">
      <c r="A1" s="75" t="s">
        <v>492</v>
      </c>
    </row>
  </sheetData>
  <hyperlinks>
    <hyperlink ref="A1" r:id="rId1" xr:uid="{E548FFCF-0CB0-475D-8CE6-FB72A2A8488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273468-B88B-4B19-A813-73729D8E7D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Posts</vt:lpstr>
      <vt:lpstr>Campaign Metadata</vt:lpstr>
      <vt:lpstr>Engagement Summary</vt:lpstr>
      <vt:lpstr>Task 1A</vt:lpstr>
      <vt:lpstr>Task 1B</vt:lpstr>
      <vt:lpstr>Hashtag Split in Rows</vt:lpstr>
      <vt:lpstr>Task 2A</vt:lpstr>
      <vt:lpstr>Task 2B</vt:lpstr>
      <vt:lpstr>Task 2 Data</vt:lpstr>
      <vt:lpstr>Task 3</vt:lpstr>
      <vt:lpstr>Task 4</vt:lpstr>
      <vt:lpstr>Task 5</vt:lpstr>
      <vt:lpstr>Task 6 Data</vt:lpstr>
      <vt:lpstr>Task 6</vt:lpstr>
      <vt:lpstr>Task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2026-03-23T14:48:54Z</dcterms:created>
  <dcterms:modified xsi:type="dcterms:W3CDTF">2026-03-27T07:55:11Z</dcterms:modified>
</cp:coreProperties>
</file>